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ISHINA P\Desktop\MINI PROJECT MARCH\"/>
    </mc:Choice>
  </mc:AlternateContent>
  <xr:revisionPtr revIDLastSave="0" documentId="13_ncr:1_{4EA5E884-8387-4183-9C63-9800A669B7A8}" xr6:coauthVersionLast="47" xr6:coauthVersionMax="47" xr10:uidLastSave="{00000000-0000-0000-0000-000000000000}"/>
  <bookViews>
    <workbookView xWindow="-108" yWindow="-108" windowWidth="23256" windowHeight="12456" firstSheet="1" activeTab="4" xr2:uid="{6B5767CF-C937-4631-BBA8-433857220A62}"/>
  </bookViews>
  <sheets>
    <sheet name="Sheet2" sheetId="3" r:id="rId1"/>
    <sheet name="Sheet3" sheetId="4" r:id="rId2"/>
    <sheet name="Sheet4" sheetId="5" r:id="rId3"/>
    <sheet name="Sheet6" sheetId="7" r:id="rId4"/>
    <sheet name="Dashboard" sheetId="6" r:id="rId5"/>
    <sheet name="disney_plus_shows11" sheetId="2" r:id="rId6"/>
    <sheet name="Sheet1" sheetId="1" r:id="rId7"/>
  </sheets>
  <definedNames>
    <definedName name="ExternalData_1" localSheetId="5" hidden="1">disney_plus_shows11!$A$1:$T$21</definedName>
    <definedName name="Slicer_Genre1">#N/A</definedName>
    <definedName name="Slicer_Rating_status">#N/A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7" l="1"/>
  <c r="C24" i="5"/>
  <c r="D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3417E5-2C83-4949-9568-14E37501884F}" keepAlive="1" name="Query - disney_plus_shows11" description="Connection to the 'disney_plus_shows11' query in the workbook." type="5" refreshedVersion="8" background="1" saveData="1">
    <dbPr connection="Provider=Microsoft.Mashup.OleDb.1;Data Source=$Workbook$;Location=disney_plus_shows11;Extended Properties=&quot;&quot;" command="SELECT * FROM [disney_plus_shows11]"/>
  </connection>
</connections>
</file>

<file path=xl/sharedStrings.xml><?xml version="1.0" encoding="utf-8"?>
<sst xmlns="http://schemas.openxmlformats.org/spreadsheetml/2006/main" count="354" uniqueCount="201">
  <si>
    <t>imdb_id</t>
  </si>
  <si>
    <t>Title</t>
  </si>
  <si>
    <t>Plot</t>
  </si>
  <si>
    <t>Type</t>
  </si>
  <si>
    <t>Rated</t>
  </si>
  <si>
    <t>Year</t>
  </si>
  <si>
    <t>Released_at</t>
  </si>
  <si>
    <t>Added_at</t>
  </si>
  <si>
    <t>Runtime</t>
  </si>
  <si>
    <t>Genre</t>
  </si>
  <si>
    <t>Director</t>
  </si>
  <si>
    <t>Writer</t>
  </si>
  <si>
    <t>Actors</t>
  </si>
  <si>
    <t>Language</t>
  </si>
  <si>
    <t>Country</t>
  </si>
  <si>
    <t>Awards</t>
  </si>
  <si>
    <t>Metascore</t>
  </si>
  <si>
    <t>imdb_rating</t>
  </si>
  <si>
    <t>imdb_votes</t>
  </si>
  <si>
    <t>Rating status</t>
  </si>
  <si>
    <t>tt0147800</t>
  </si>
  <si>
    <t>10 Things I Hate About You</t>
  </si>
  <si>
    <t>A pretty, popular teenager can't go out on a date until her ill-tempered older sister does.</t>
  </si>
  <si>
    <t>movie</t>
  </si>
  <si>
    <t>PG-13</t>
  </si>
  <si>
    <t>Comedy, Drama, Romance</t>
  </si>
  <si>
    <t>Gil Junger</t>
  </si>
  <si>
    <t>Karen Mccullah, Kirsten Smith</t>
  </si>
  <si>
    <t>Heath Ledger, Julia Stiles, Joseph Gordon-Levitt, Larisa Oleynik</t>
  </si>
  <si>
    <t>English, French</t>
  </si>
  <si>
    <t>USA</t>
  </si>
  <si>
    <t>2 wins &amp; 13 nominations.</t>
  </si>
  <si>
    <t>Good</t>
  </si>
  <si>
    <t>tt7019028</t>
  </si>
  <si>
    <t>101 Dalmatian Street</t>
  </si>
  <si>
    <t>This series follows the lives of Delilah and Doug, descendants of Pongo and Perdita, and their 99 dalmatian pups at 101 Dalmatian Street, Camden Town.</t>
  </si>
  <si>
    <t>series</t>
  </si>
  <si>
    <t>Not Rated</t>
  </si>
  <si>
    <t>Animation, Comedy, Family</t>
  </si>
  <si>
    <t>Miklos Weigert</t>
  </si>
  <si>
    <t>Unknown</t>
  </si>
  <si>
    <t>Josh Brener, Michaela Dietz, Bert Davis, Abigail Zoe Lewis</t>
  </si>
  <si>
    <t>English</t>
  </si>
  <si>
    <t>UK, USA, Canada</t>
  </si>
  <si>
    <t>No Awards Recorded</t>
  </si>
  <si>
    <t>tt0115433</t>
  </si>
  <si>
    <t>101 Dalmatians</t>
  </si>
  <si>
    <t>An evil high-fashion designer plots to steal Dalmatian puppies in order to make an extravagant fur coat, but instead creates an extravagant mess.</t>
  </si>
  <si>
    <t>G</t>
  </si>
  <si>
    <t>Adventure, Comedy, Crime, Family</t>
  </si>
  <si>
    <t>Stephen Herek</t>
  </si>
  <si>
    <t>Dodie Smith (Novel), John Hughes (Screenplay)</t>
  </si>
  <si>
    <t>Glenn Close, Jeff Daniels, Joely Richardson, Joan Plowright</t>
  </si>
  <si>
    <t>English, Spanish</t>
  </si>
  <si>
    <t>USA, UK</t>
  </si>
  <si>
    <t>Nominated for 1 Golden Globe. Another 3 wins &amp; 9 nominations.</t>
  </si>
  <si>
    <t>tt0324941</t>
  </si>
  <si>
    <t>101 Dalmatians 2: Patch's London Adventure</t>
  </si>
  <si>
    <t>Being one of 101 takes its toll on Patch, who doesn't feel unique. When he's accidentally left behind on moving day, he meets his idol, Thunderbolt, who enlists him on a publicity campaign.</t>
  </si>
  <si>
    <t>Animation, Adventure, Comedy, Family, Musical</t>
  </si>
  <si>
    <t>Jim Kammerud, Brian Smith</t>
  </si>
  <si>
    <t>Jim Kammerud (Story), Dan Root (Story), Garrett K. Schiff (Story), Brian Smith (Story), Jim Kammerud (Screenplay), Brian Smith (Screenplay), Dodie Smith (Novel), Michael Lucker, Temple Mathews (Additional Script Material)</t>
  </si>
  <si>
    <t>Barry Bostwick, Jason Alexander, Martin Short, Bobby Lockwood</t>
  </si>
  <si>
    <t>5 wins &amp; 10 nominations.</t>
  </si>
  <si>
    <t>tt0211181</t>
  </si>
  <si>
    <t>102 Dalmatians</t>
  </si>
  <si>
    <t>Cruella DeVil gets out of prison and goes after the puppies once more.</t>
  </si>
  <si>
    <t>Adventure, Comedy, Family</t>
  </si>
  <si>
    <t>Kevin Lima</t>
  </si>
  <si>
    <t>Dodie Smith (Novel), Kristen Buckley (Story), Brian Regan (Story), Kristen Buckley (Screenplay), Brian Regan (Screenplay), Bob Tzudiker (Screenplay), Noni White (Screenplay)</t>
  </si>
  <si>
    <t>Glenn Close, Gérard Depardieu, Ioan Gruffudd, Alice Evans</t>
  </si>
  <si>
    <t>Nominated for 1 Oscar. Another 1 win &amp; 7 nominations.</t>
  </si>
  <si>
    <t>Average</t>
  </si>
  <si>
    <t>tt1846442</t>
  </si>
  <si>
    <t>12 Dates of Christmas</t>
  </si>
  <si>
    <t>A story that follows Kate, a young woman who after a horrible blind date on Christmas Eve, wakes up to find she is re-living that same day and date all over again.</t>
  </si>
  <si>
    <t>PG</t>
  </si>
  <si>
    <t>Comedy, Fantasy, Romance</t>
  </si>
  <si>
    <t>James Hayman</t>
  </si>
  <si>
    <t>Aaron Mendelsohn (Teleplay), Janet Brownell (Teleplay), Aaron Mendelsohn (Story), Blake Harris (Story)</t>
  </si>
  <si>
    <t>Laura Miyata, Vijay Mehta, Amy Smart, Audrey Dwyer</t>
  </si>
  <si>
    <t>1 nomination.</t>
  </si>
  <si>
    <t>tt0046672</t>
  </si>
  <si>
    <t>20,000 Leagues Under the Sea</t>
  </si>
  <si>
    <t>A ship sent to investigate a wave of mysterious sinkings encounters the advanced submarine, the Nautilus, commanded by Captain Nemo.</t>
  </si>
  <si>
    <t>Adventure, Drama, Family, Fantasy, Sci-Fi</t>
  </si>
  <si>
    <t>Richard Fleischer</t>
  </si>
  <si>
    <t>Earl Felton (Screenplay)</t>
  </si>
  <si>
    <t>Kirk Douglas, James Mason, Paul Lukas, Peter Lorre</t>
  </si>
  <si>
    <t>Won 2 Oscars. Another 3 wins &amp; 3 nominations.</t>
  </si>
  <si>
    <t>tt0120623</t>
  </si>
  <si>
    <t>A Bug's Life</t>
  </si>
  <si>
    <t>A misfit ant, looking for "warriors" to save his colony from greedy grasshoppers, recruits a group of bugs that turn out to be an inept circus troupe.</t>
  </si>
  <si>
    <t>Animation, Adventure, Comedy, Family</t>
  </si>
  <si>
    <t>John Lasseter, Andrew Stanton(co-director)</t>
  </si>
  <si>
    <t>John Lasseter (Original Story By), Andrew Stanton (Original Story By), Joe Ranft (Original Story By), Andrew Stanton (Screenplay By), Don Mcenery (Screenplay By), Bob Shaw (Screenplay By)</t>
  </si>
  <si>
    <t>Dave Foley, Kevin Spacey, Julia Louis-Dreyfus, Hayden Panettiere</t>
  </si>
  <si>
    <t>Nominated for 1 Oscar. Another 14 wins &amp; 20 nominations.</t>
  </si>
  <si>
    <t>tt12076020</t>
  </si>
  <si>
    <t>A Celebration of the Music from Coco</t>
  </si>
  <si>
    <t>Music</t>
  </si>
  <si>
    <t>Ron de Moraes</t>
  </si>
  <si>
    <t>Benjamin Bratt, Eva Longoria</t>
  </si>
  <si>
    <t>tt0113198</t>
  </si>
  <si>
    <t>A Goofy Movie</t>
  </si>
  <si>
    <t>When Max makes a preposterous promise to a girl he has a crush on, his chances to fulfilling it seem hopeless when he is dragged onto a cross-country trip with his embarrassing father, Goofy.</t>
  </si>
  <si>
    <t>Animation, Adventure, Comedy, Family, Musical, Romance</t>
  </si>
  <si>
    <t>Jymn Magon (Story), Jymn Magon (Screenplay), Chris Matheson (Screenplay), Brian Pimental (Screenplay), Brian Pimental (Story Supervisor), Curtis Armstrong (Additional Written Material), John Doolittle (Additional Written Material)</t>
  </si>
  <si>
    <t>Bill Farmer, Jason Marsden, Jim Cummings, Kellie Martin</t>
  </si>
  <si>
    <t>USA, Australia, France, Canada</t>
  </si>
  <si>
    <t>5 nominations.</t>
  </si>
  <si>
    <t>tt0113538</t>
  </si>
  <si>
    <t>A Kid in King Arthur's Court</t>
  </si>
  <si>
    <t>A Little League player is sent back into medieval times where he is given the task of saving Camelot.</t>
  </si>
  <si>
    <t>Adventure, Comedy, Family, Fantasy, Romance</t>
  </si>
  <si>
    <t>Michael Gottlieb</t>
  </si>
  <si>
    <t>Michael Part, Robert L. Levy</t>
  </si>
  <si>
    <t>Thomas Ian Nicholas, Joss Ackland, Art Malik, Paloma Baeza</t>
  </si>
  <si>
    <t>USA, Hungary, UK</t>
  </si>
  <si>
    <t>tt0038674</t>
  </si>
  <si>
    <t>A Knight for a Day</t>
  </si>
  <si>
    <t>By accident, Cedric (Goofy), replaces his master, Sir Loinsteak, in the armor just before the joust with champion Sir Cumference.</t>
  </si>
  <si>
    <t>APPROVED</t>
  </si>
  <si>
    <t>Animation, Short, Comedy</t>
  </si>
  <si>
    <t>Jack Hannah</t>
  </si>
  <si>
    <t>Bill Peet (Story)</t>
  </si>
  <si>
    <t>Pinto Colvig</t>
  </si>
  <si>
    <t>tt0282123</t>
  </si>
  <si>
    <t>A Ring of Endless Light</t>
  </si>
  <si>
    <t>Based on the Novel by Madeline L'Engle. During the summer her grandfather is dying of leukemia and death seems all around, 15-year-old Vicky finds comfort with the pod of dolphins with ...</t>
  </si>
  <si>
    <t>TV-G</t>
  </si>
  <si>
    <t>Drama, Family, Romance</t>
  </si>
  <si>
    <t>Greg Beeman</t>
  </si>
  <si>
    <t>Madeleine L'Engle (Novel), Marita Giovanni (Teleplay), Bruce Graham (Teleplay)</t>
  </si>
  <si>
    <t>Mischa Barton, Ryan Merriman, Jared Padalecki, Scarlett Pomers</t>
  </si>
  <si>
    <t>2 wins &amp; 1 nomination.</t>
  </si>
  <si>
    <t>tt0287003</t>
  </si>
  <si>
    <t>A Tale of Two Critters</t>
  </si>
  <si>
    <t>A bear cub and a raccoon become fast friends when they're swept away down a river, away from their families.</t>
  </si>
  <si>
    <t>Adventure, Family</t>
  </si>
  <si>
    <t>Jack Speirs</t>
  </si>
  <si>
    <t>Mayf Nutter</t>
  </si>
  <si>
    <t>tt1620680</t>
  </si>
  <si>
    <t>A Wrinkle in Time</t>
  </si>
  <si>
    <t>After the disappearance of her scientist father, three peculiar beings send Meg, her brother, and her friend to space in order to find him.</t>
  </si>
  <si>
    <t>Adventure, Family, Fantasy, Sci-Fi</t>
  </si>
  <si>
    <t>Ava DuVernay</t>
  </si>
  <si>
    <t>Jennifer Lee (Screenplay By), Jeff Stockwell (Screenplay By), Madeleine L'Engle (Based Upon The Novel By)</t>
  </si>
  <si>
    <t>Storm Reid, Oprah Winfrey, Reese Witherspoon, Mindy Kaling</t>
  </si>
  <si>
    <t>5 wins &amp; 15 nominations.</t>
  </si>
  <si>
    <t>tt6139732</t>
  </si>
  <si>
    <t>Aladdin</t>
  </si>
  <si>
    <t>A kind-hearted street urchin and a power-hungry Grand Vizier vie for a magic lamp that has the power to make their deepest wishes come true.</t>
  </si>
  <si>
    <t>Adventure, Family, Fantasy, Musical, Romance</t>
  </si>
  <si>
    <t>Guy Ritchie</t>
  </si>
  <si>
    <t>John August (Screenplay By), Guy Ritchie (Screenplay By)</t>
  </si>
  <si>
    <t>Will Smith, Mena Massoud, Naomi Scott, Marwan Kenzari</t>
  </si>
  <si>
    <t>English, Arabic</t>
  </si>
  <si>
    <t>7 wins &amp; 32 nominations.</t>
  </si>
  <si>
    <t>tt0103639</t>
  </si>
  <si>
    <t>A kindhearted street urchin and a power-hungry Grand Vizier vie for a magic lamp that has the power to make their deepest wishes come true.</t>
  </si>
  <si>
    <t>Animation, Adventure, Comedy, Family, Fantasy, Musical, Romance</t>
  </si>
  <si>
    <t>Ron Clements, John Musker</t>
  </si>
  <si>
    <t>Ron Clements (Screenplay By), John Musker (Screenplay By), Ted Elliott (Screenplay By), Terry Rossio (Screenplay By), Burny Mattinson (Story), Roger Allers (Story), Daan Jippes (Story), Kevin Harkey (Story), Sue C. Nichols (Story), Francis Glebas (Story), Darrell Rooney (Story), Larry Leker (Story), James Fujii (Story), Kirk Hanson (Story), Kevin Lima (Story), Rebecca Rees (Story), David S. Smith (Story), Chris Sanders (Story), Brian Pimental (Story), Patrick A. Ventura (Story)</t>
  </si>
  <si>
    <t>Scott Weinger, Robin Williams, Linda Larkin, Jonathan Freeman</t>
  </si>
  <si>
    <t>Won 2 Oscars. Another 31 wins &amp; 22 nominations.</t>
  </si>
  <si>
    <t>Excellent</t>
  </si>
  <si>
    <t>tt0115491</t>
  </si>
  <si>
    <t>Aladdin and the King of Thieves</t>
  </si>
  <si>
    <t>The King of Thieves disrupts Aladdin and Jasmine's long-anticipated wedding, looking for an oracle that will lead him to an even bigger treasure. His true identity causes trouble for Aladdin.</t>
  </si>
  <si>
    <t>Tad Stones</t>
  </si>
  <si>
    <t>Mark Mccorkle (Screenplay By), Robert Schooley (Screenplay)</t>
  </si>
  <si>
    <t>Val Bettin, Jim Cummings, Gilbert Gottfried, Linda Larkin</t>
  </si>
  <si>
    <t>tt0107952</t>
  </si>
  <si>
    <t>Aladdin and the Return of Jafar</t>
  </si>
  <si>
    <t>Jafar comes for revenge on Aladdin, using a foolish thief and Iago's treachery to find a way back into power.</t>
  </si>
  <si>
    <t>Toby Shelton, Tad Stones, Alan Zaslove</t>
  </si>
  <si>
    <t>Duane Capizzi (Story), Doug Langdale (Story), Mark Mccorkle (Story), Robert Schooley (Story), Tad Stones (Story), Kevin Campbell, Mirith J. Colao, Bill Motz, Steve Roberts, Dev Ross, Bob Roth, Jan Strnad, Brian Swenlin</t>
  </si>
  <si>
    <t>Jason Alexander, Jonathan Freeman, Jeff Bennett, Gilbert Gottfried</t>
  </si>
  <si>
    <t>tt0043274</t>
  </si>
  <si>
    <t>Alice in Wonderland</t>
  </si>
  <si>
    <t>Alice stumbles into the world of Wonderland. Will she get home? Not if the Queen of Hearts has her way.</t>
  </si>
  <si>
    <t>Animation, Adventure, Family, Fantasy, Musical</t>
  </si>
  <si>
    <t>Clyde Geronimi, Wilfred Jackson, Hamilton Luske</t>
  </si>
  <si>
    <t>Lewis Carroll (Adaptation), Winston Hibler (Story), Ted Sears (Story), Bill Peet (Story), Erdman Penner (Story), Joe Rinaldi (Story), Milt Banta (Story), William Cottrell (Story), Dick Kelsey (Story), Joe Grant (Story), Dick Huemer (Story), Del Connell (Story), Tom Oreb (Story), John Walbridge (Story)</t>
  </si>
  <si>
    <t>Kathryn Beaumont, Ed Wynn, Richard Haydn, Sterling Holloway</t>
  </si>
  <si>
    <t>Nominated for 1 Oscar. Another 1 nomination.</t>
  </si>
  <si>
    <t>Row Labels</t>
  </si>
  <si>
    <t>Grand Total</t>
  </si>
  <si>
    <t>Count of Genre</t>
  </si>
  <si>
    <t>Average of imdb_rating</t>
  </si>
  <si>
    <t>Movie Analysis by Genre</t>
  </si>
  <si>
    <t>Top 10 Highest Rated Movies</t>
  </si>
  <si>
    <t>Count of Title</t>
  </si>
  <si>
    <t>Column Labels</t>
  </si>
  <si>
    <t>Yearly Trend of Movie Ratings</t>
  </si>
  <si>
    <t>Count of Awards</t>
  </si>
  <si>
    <t>Awards Distribution</t>
  </si>
  <si>
    <t>Group1</t>
  </si>
  <si>
    <t>Average Rating</t>
  </si>
  <si>
    <t>Count of Movies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</si>
</sst>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4"/>
      <color theme="5" tint="-0.249977111117893"/>
      <name val="Aptos Narrow"/>
      <family val="2"/>
      <scheme val="minor"/>
    </font>
    <font>
      <sz val="11"/>
      <color rgb="FFFF0000"/>
      <name val="Aptos Narrow"/>
      <family val="2"/>
      <scheme val="minor"/>
    </font>
    <font>
      <sz val="11"/>
      <color theme="0"/>
      <name val="Aptos Narrow"/>
      <family val="2"/>
      <scheme val="minor"/>
    </font>
    <font>
      <sz val="14"/>
      <color rgb="FF002060"/>
      <name val="Aptos Narrow"/>
      <family val="2"/>
      <scheme val="minor"/>
    </font>
    <font>
      <sz val="11"/>
      <color rgb="FF002060"/>
      <name val="Aptos Narrow"/>
      <family val="2"/>
      <scheme val="minor"/>
    </font>
    <font>
      <sz val="11"/>
      <color theme="2"/>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1" fillId="0" borderId="0" xfId="0" applyFont="1"/>
    <xf numFmtId="0" fontId="2" fillId="3" borderId="0" xfId="0" applyFont="1" applyFill="1"/>
    <xf numFmtId="0" fontId="4" fillId="0" borderId="0" xfId="0" applyFont="1"/>
    <xf numFmtId="0" fontId="5" fillId="3" borderId="0" xfId="0" applyFont="1" applyFill="1"/>
    <xf numFmtId="0" fontId="5" fillId="3" borderId="0" xfId="0" applyFont="1" applyFill="1" applyAlignment="1">
      <alignment horizontal="left"/>
    </xf>
    <xf numFmtId="0" fontId="5" fillId="3" borderId="0" xfId="0" applyFont="1" applyFill="1" applyAlignment="1">
      <alignment horizontal="left" indent="1"/>
    </xf>
    <xf numFmtId="0" fontId="5" fillId="2" borderId="0" xfId="0" applyFont="1" applyFill="1"/>
    <xf numFmtId="0" fontId="5" fillId="2" borderId="0" xfId="0" applyFont="1" applyFill="1" applyAlignment="1">
      <alignment horizontal="left"/>
    </xf>
    <xf numFmtId="0" fontId="6" fillId="0" borderId="0" xfId="0" applyFont="1"/>
    <xf numFmtId="0" fontId="3" fillId="0" borderId="0" xfId="0" applyFont="1"/>
  </cellXfs>
  <cellStyles count="1">
    <cellStyle name="Normal" xfId="0" builtinId="0"/>
  </cellStyles>
  <dxfs count="94">
    <dxf>
      <font>
        <color rgb="FF002060"/>
      </font>
    </dxf>
    <dxf>
      <font>
        <color rgb="FF002060"/>
      </font>
    </dxf>
    <dxf>
      <font>
        <color rgb="FF002060"/>
      </font>
    </dxf>
    <dxf>
      <font>
        <color rgb="FF002060"/>
      </font>
    </dxf>
    <dxf>
      <font>
        <color rgb="FF002060"/>
      </font>
    </dxf>
    <dxf>
      <font>
        <color rgb="FF00206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font>
        <color rgb="FF002060"/>
      </font>
    </dxf>
    <dxf>
      <font>
        <color rgb="FF002060"/>
      </font>
    </dxf>
    <dxf>
      <font>
        <color rgb="FF002060"/>
      </font>
    </dxf>
    <dxf>
      <font>
        <color rgb="FF002060"/>
      </font>
    </dxf>
    <dxf>
      <font>
        <color rgb="FF002060"/>
      </font>
    </dxf>
    <dxf>
      <font>
        <color rgb="FF002060"/>
      </font>
    </dxf>
    <dxf>
      <font>
        <color rgb="FF002060"/>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color rgb="FF002060"/>
      </font>
    </dxf>
    <dxf>
      <font>
        <color rgb="FF002060"/>
      </font>
    </dxf>
    <dxf>
      <font>
        <color rgb="FF002060"/>
      </font>
    </dxf>
    <dxf>
      <font>
        <color rgb="FF002060"/>
      </font>
    </dxf>
    <dxf>
      <font>
        <color rgb="FF002060"/>
      </font>
    </dxf>
    <dxf>
      <font>
        <color rgb="FF00206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rgb="FF002060"/>
      </font>
    </dxf>
    <dxf>
      <fill>
        <patternFill patternType="solid">
          <bgColor theme="9" tint="0.79998168889431442"/>
        </patternFill>
      </fill>
    </dxf>
    <dxf>
      <font>
        <color theme="5" tint="-0.249977111117893"/>
      </font>
    </dxf>
    <dxf>
      <font>
        <color rgb="FF002060"/>
      </font>
    </dxf>
    <dxf>
      <font>
        <color rgb="FF002060"/>
      </font>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color theme="5" tint="-0.249977111117893"/>
      </font>
    </dxf>
    <dxf>
      <font>
        <color theme="5" tint="-0.249977111117893"/>
      </font>
    </dxf>
    <dxf>
      <font>
        <color theme="5" tint="-0.249977111117893"/>
      </font>
    </dxf>
    <dxf>
      <font>
        <color rgb="FF002060"/>
      </font>
    </dxf>
    <dxf>
      <font>
        <color rgb="FF002060"/>
      </font>
    </dxf>
    <dxf>
      <font>
        <color rgb="FF002060"/>
      </font>
    </dxf>
    <dxf>
      <font>
        <color rgb="FF002060"/>
      </font>
    </dxf>
    <dxf>
      <font>
        <color rgb="FF002060"/>
      </font>
    </dxf>
    <dxf>
      <font>
        <color rgb="FF00206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s>
  <tableStyles count="0" defaultTableStyle="TableStyleMedium2" defaultPivotStyle="PivotStyleLight16"/>
  <colors>
    <mruColors>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PROJECT=Disney Plus Shows.xlsx]Sheet2!PivotTable3</c:name>
    <c:fmtId val="0"/>
  </c:pivotSource>
  <c:chart>
    <c:title>
      <c:tx>
        <c:rich>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r>
              <a:rPr lang="en-US" sz="1200">
                <a:solidFill>
                  <a:srgbClr val="002060"/>
                </a:solidFill>
              </a:rPr>
              <a:t>Top 10 Highest Rated Movies</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Sheet2!$C$7</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Sheet2!$B$8:$B$18</c:f>
              <c:strCache>
                <c:ptCount val="10"/>
                <c:pt idx="0">
                  <c:v>10 Things I Hate About You</c:v>
                </c:pt>
                <c:pt idx="1">
                  <c:v>101 Dalmatian Street</c:v>
                </c:pt>
                <c:pt idx="2">
                  <c:v>12 Dates of Christmas</c:v>
                </c:pt>
                <c:pt idx="3">
                  <c:v>A Bug's Life</c:v>
                </c:pt>
                <c:pt idx="4">
                  <c:v>A Celebration of the Music from Coco</c:v>
                </c:pt>
                <c:pt idx="5">
                  <c:v>A Goofy Movie</c:v>
                </c:pt>
                <c:pt idx="6">
                  <c:v>A Knight for a Day</c:v>
                </c:pt>
                <c:pt idx="7">
                  <c:v>Aladdin</c:v>
                </c:pt>
                <c:pt idx="8">
                  <c:v>Aladdin and the King of Thieves</c:v>
                </c:pt>
                <c:pt idx="9">
                  <c:v>Alice in Wonderland</c:v>
                </c:pt>
              </c:strCache>
            </c:strRef>
          </c:cat>
          <c:val>
            <c:numRef>
              <c:f>Sheet2!$C$8:$C$18</c:f>
              <c:numCache>
                <c:formatCode>General</c:formatCode>
                <c:ptCount val="10"/>
                <c:pt idx="0">
                  <c:v>7.3</c:v>
                </c:pt>
                <c:pt idx="1">
                  <c:v>6.2</c:v>
                </c:pt>
                <c:pt idx="2">
                  <c:v>6.3</c:v>
                </c:pt>
                <c:pt idx="3">
                  <c:v>7.2</c:v>
                </c:pt>
                <c:pt idx="4">
                  <c:v>7.6</c:v>
                </c:pt>
                <c:pt idx="5">
                  <c:v>6.8</c:v>
                </c:pt>
                <c:pt idx="6">
                  <c:v>7</c:v>
                </c:pt>
                <c:pt idx="7">
                  <c:v>7.5</c:v>
                </c:pt>
                <c:pt idx="8">
                  <c:v>6.4</c:v>
                </c:pt>
                <c:pt idx="9">
                  <c:v>7.4</c:v>
                </c:pt>
              </c:numCache>
            </c:numRef>
          </c:val>
          <c:extLst>
            <c:ext xmlns:c16="http://schemas.microsoft.com/office/drawing/2014/chart" uri="{C3380CC4-5D6E-409C-BE32-E72D297353CC}">
              <c16:uniqueId val="{00000000-545A-4B52-A5AE-76E958B318C6}"/>
            </c:ext>
          </c:extLst>
        </c:ser>
        <c:dLbls>
          <c:dLblPos val="inEnd"/>
          <c:showLegendKey val="0"/>
          <c:showVal val="1"/>
          <c:showCatName val="0"/>
          <c:showSerName val="0"/>
          <c:showPercent val="0"/>
          <c:showBubbleSize val="0"/>
        </c:dLbls>
        <c:gapWidth val="65"/>
        <c:axId val="550543295"/>
        <c:axId val="550555775"/>
      </c:barChart>
      <c:catAx>
        <c:axId val="5505432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0555775"/>
        <c:crosses val="autoZero"/>
        <c:auto val="1"/>
        <c:lblAlgn val="ctr"/>
        <c:lblOffset val="100"/>
        <c:noMultiLvlLbl val="0"/>
      </c:catAx>
      <c:valAx>
        <c:axId val="5505557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05432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PROJECT=Disney Plus Shows.xlsx]Sheet3!PivotTable4</c:name>
    <c:fmtId val="4"/>
  </c:pivotSource>
  <c:chart>
    <c:title>
      <c:tx>
        <c:rich>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r>
              <a:rPr lang="en-US" sz="1200">
                <a:solidFill>
                  <a:srgbClr val="002060"/>
                </a:solidFill>
              </a:rPr>
              <a:t>Rating Status by Year</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31750" cap="rnd" cmpd="sng" algn="ctr">
            <a:solidFill>
              <a:schemeClr val="accent2"/>
            </a:solidFill>
            <a:round/>
          </a:ln>
          <a:effectLst/>
        </c:spPr>
        <c:marker>
          <c:symbol val="circle"/>
          <c:size val="17"/>
          <c:spPr>
            <a:solidFill>
              <a:schemeClr val="accent2">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Sheet3!$C$3:$C$4</c:f>
              <c:strCache>
                <c:ptCount val="1"/>
                <c:pt idx="0">
                  <c:v>Excellent</c:v>
                </c:pt>
              </c:strCache>
            </c:strRef>
          </c:tx>
          <c:spPr>
            <a:ln w="31750" cap="rnd">
              <a:solidFill>
                <a:schemeClr val="accent2">
                  <a:shade val="76000"/>
                </a:schemeClr>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Sheet3!$B$5:$B$18</c:f>
              <c:strCache>
                <c:ptCount val="13"/>
                <c:pt idx="0">
                  <c:v>1946</c:v>
                </c:pt>
                <c:pt idx="1">
                  <c:v>1951</c:v>
                </c:pt>
                <c:pt idx="2">
                  <c:v>1992</c:v>
                </c:pt>
                <c:pt idx="3">
                  <c:v>1994</c:v>
                </c:pt>
                <c:pt idx="4">
                  <c:v>1995</c:v>
                </c:pt>
                <c:pt idx="5">
                  <c:v>1996</c:v>
                </c:pt>
                <c:pt idx="6">
                  <c:v>1998</c:v>
                </c:pt>
                <c:pt idx="7">
                  <c:v>1999</c:v>
                </c:pt>
                <c:pt idx="8">
                  <c:v>2002</c:v>
                </c:pt>
                <c:pt idx="9">
                  <c:v>2011</c:v>
                </c:pt>
                <c:pt idx="10">
                  <c:v>2018</c:v>
                </c:pt>
                <c:pt idx="11">
                  <c:v>2019</c:v>
                </c:pt>
                <c:pt idx="12">
                  <c:v>2020</c:v>
                </c:pt>
              </c:strCache>
            </c:strRef>
          </c:cat>
          <c:val>
            <c:numRef>
              <c:f>Sheet3!$C$5:$C$18</c:f>
              <c:numCache>
                <c:formatCode>General</c:formatCode>
                <c:ptCount val="13"/>
                <c:pt idx="2">
                  <c:v>1</c:v>
                </c:pt>
              </c:numCache>
            </c:numRef>
          </c:val>
          <c:smooth val="0"/>
          <c:extLst>
            <c:ext xmlns:c16="http://schemas.microsoft.com/office/drawing/2014/chart" uri="{C3380CC4-5D6E-409C-BE32-E72D297353CC}">
              <c16:uniqueId val="{00000000-B437-4478-8000-A8201AAB4748}"/>
            </c:ext>
          </c:extLst>
        </c:ser>
        <c:ser>
          <c:idx val="1"/>
          <c:order val="1"/>
          <c:tx>
            <c:strRef>
              <c:f>Sheet3!$D$3:$D$4</c:f>
              <c:strCache>
                <c:ptCount val="1"/>
                <c:pt idx="0">
                  <c:v>Good</c:v>
                </c:pt>
              </c:strCache>
            </c:strRef>
          </c:tx>
          <c:spPr>
            <a:ln w="31750" cap="rnd">
              <a:solidFill>
                <a:schemeClr val="accent2">
                  <a:tint val="77000"/>
                </a:schemeClr>
              </a:solidFill>
              <a:round/>
            </a:ln>
            <a:effectLst/>
          </c:spPr>
          <c:marker>
            <c:symbol val="circle"/>
            <c:size val="17"/>
            <c:spPr>
              <a:solidFill>
                <a:schemeClr val="accent2">
                  <a:tint val="6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Sheet3!$B$5:$B$18</c:f>
              <c:strCache>
                <c:ptCount val="13"/>
                <c:pt idx="0">
                  <c:v>1946</c:v>
                </c:pt>
                <c:pt idx="1">
                  <c:v>1951</c:v>
                </c:pt>
                <c:pt idx="2">
                  <c:v>1992</c:v>
                </c:pt>
                <c:pt idx="3">
                  <c:v>1994</c:v>
                </c:pt>
                <c:pt idx="4">
                  <c:v>1995</c:v>
                </c:pt>
                <c:pt idx="5">
                  <c:v>1996</c:v>
                </c:pt>
                <c:pt idx="6">
                  <c:v>1998</c:v>
                </c:pt>
                <c:pt idx="7">
                  <c:v>1999</c:v>
                </c:pt>
                <c:pt idx="8">
                  <c:v>2002</c:v>
                </c:pt>
                <c:pt idx="9">
                  <c:v>2011</c:v>
                </c:pt>
                <c:pt idx="10">
                  <c:v>2018</c:v>
                </c:pt>
                <c:pt idx="11">
                  <c:v>2019</c:v>
                </c:pt>
                <c:pt idx="12">
                  <c:v>2020</c:v>
                </c:pt>
              </c:strCache>
            </c:strRef>
          </c:cat>
          <c:val>
            <c:numRef>
              <c:f>Sheet3!$D$5:$D$18</c:f>
              <c:numCache>
                <c:formatCode>General</c:formatCode>
                <c:ptCount val="13"/>
                <c:pt idx="0">
                  <c:v>1</c:v>
                </c:pt>
                <c:pt idx="1">
                  <c:v>1</c:v>
                </c:pt>
                <c:pt idx="3">
                  <c:v>1</c:v>
                </c:pt>
                <c:pt idx="4">
                  <c:v>1</c:v>
                </c:pt>
                <c:pt idx="5">
                  <c:v>2</c:v>
                </c:pt>
                <c:pt idx="6">
                  <c:v>1</c:v>
                </c:pt>
                <c:pt idx="7">
                  <c:v>1</c:v>
                </c:pt>
                <c:pt idx="8">
                  <c:v>2</c:v>
                </c:pt>
                <c:pt idx="9">
                  <c:v>1</c:v>
                </c:pt>
                <c:pt idx="10">
                  <c:v>1</c:v>
                </c:pt>
                <c:pt idx="11">
                  <c:v>1</c:v>
                </c:pt>
                <c:pt idx="12">
                  <c:v>1</c:v>
                </c:pt>
              </c:numCache>
            </c:numRef>
          </c:val>
          <c:smooth val="0"/>
          <c:extLst>
            <c:ext xmlns:c16="http://schemas.microsoft.com/office/drawing/2014/chart" uri="{C3380CC4-5D6E-409C-BE32-E72D297353CC}">
              <c16:uniqueId val="{00000001-2440-4EB5-ACC2-8C78519F2F7F}"/>
            </c:ext>
          </c:extLst>
        </c:ser>
        <c:dLbls>
          <c:dLblPos val="ctr"/>
          <c:showLegendKey val="0"/>
          <c:showVal val="1"/>
          <c:showCatName val="0"/>
          <c:showSerName val="0"/>
          <c:showPercent val="0"/>
          <c:showBubbleSize val="0"/>
        </c:dLbls>
        <c:marker val="1"/>
        <c:smooth val="0"/>
        <c:axId val="550565855"/>
        <c:axId val="550553855"/>
      </c:lineChart>
      <c:catAx>
        <c:axId val="5505658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0553855"/>
        <c:crosses val="autoZero"/>
        <c:auto val="1"/>
        <c:lblAlgn val="ctr"/>
        <c:lblOffset val="100"/>
        <c:noMultiLvlLbl val="0"/>
      </c:catAx>
      <c:valAx>
        <c:axId val="550553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05658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PROJECT=Disney Plus Shows.xlsx]Sheet4!PivotTable5</c:name>
    <c:fmtId val="2"/>
  </c:pivotSource>
  <c:chart>
    <c:title>
      <c:tx>
        <c:rich>
          <a:bodyPr rot="0" spcFirstLastPara="1" vertOverflow="ellipsis" vert="horz" wrap="square" anchor="ctr" anchorCtr="1"/>
          <a:lstStyle/>
          <a:p>
            <a:pPr>
              <a:defRPr sz="1200" b="1" i="0" u="none" strike="noStrike" kern="1200" baseline="0">
                <a:solidFill>
                  <a:schemeClr val="tx2">
                    <a:lumMod val="90000"/>
                    <a:lumOff val="10000"/>
                  </a:schemeClr>
                </a:solidFill>
                <a:latin typeface="+mn-lt"/>
                <a:ea typeface="+mn-ea"/>
                <a:cs typeface="+mn-cs"/>
              </a:defRPr>
            </a:pPr>
            <a:r>
              <a:rPr lang="en-US" sz="1200">
                <a:solidFill>
                  <a:schemeClr val="tx2">
                    <a:lumMod val="90000"/>
                    <a:lumOff val="10000"/>
                  </a:schemeClr>
                </a:solidFill>
              </a:rPr>
              <a:t>Average Rating</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37000"/>
              <a:alpha val="85000"/>
            </a:schemeClr>
          </a:solidFill>
          <a:ln w="9525" cap="flat" cmpd="sng" algn="ctr">
            <a:solidFill>
              <a:schemeClr val="lt1">
                <a:alpha val="50000"/>
              </a:schemeClr>
            </a:solidFill>
            <a:round/>
          </a:ln>
          <a:effectLst/>
        </c:spPr>
      </c:pivotFmt>
      <c:pivotFmt>
        <c:idx val="2"/>
        <c:spPr>
          <a:solidFill>
            <a:schemeClr val="accent2">
              <a:shade val="44000"/>
              <a:alpha val="85000"/>
            </a:schemeClr>
          </a:solidFill>
          <a:ln w="9525" cap="flat" cmpd="sng" algn="ctr">
            <a:solidFill>
              <a:schemeClr val="lt1">
                <a:alpha val="50000"/>
              </a:schemeClr>
            </a:solidFill>
            <a:round/>
          </a:ln>
          <a:effectLst/>
        </c:spPr>
      </c:pivotFmt>
      <c:pivotFmt>
        <c:idx val="3"/>
        <c:spPr>
          <a:solidFill>
            <a:schemeClr val="accent2">
              <a:shade val="51000"/>
              <a:alpha val="85000"/>
            </a:schemeClr>
          </a:solidFill>
          <a:ln w="9525" cap="flat" cmpd="sng" algn="ctr">
            <a:solidFill>
              <a:schemeClr val="lt1">
                <a:alpha val="50000"/>
              </a:schemeClr>
            </a:solidFill>
            <a:round/>
          </a:ln>
          <a:effectLst/>
        </c:spPr>
      </c:pivotFmt>
      <c:pivotFmt>
        <c:idx val="4"/>
        <c:spPr>
          <a:solidFill>
            <a:schemeClr val="accent2">
              <a:shade val="58000"/>
              <a:alpha val="85000"/>
            </a:schemeClr>
          </a:solidFill>
          <a:ln w="9525" cap="flat" cmpd="sng" algn="ctr">
            <a:solidFill>
              <a:schemeClr val="lt1">
                <a:alpha val="50000"/>
              </a:schemeClr>
            </a:solidFill>
            <a:round/>
          </a:ln>
          <a:effectLst/>
        </c:spPr>
      </c:pivotFmt>
      <c:pivotFmt>
        <c:idx val="5"/>
        <c:spPr>
          <a:solidFill>
            <a:schemeClr val="accent2">
              <a:shade val="65000"/>
              <a:alpha val="85000"/>
            </a:schemeClr>
          </a:solidFill>
          <a:ln w="9525" cap="flat" cmpd="sng" algn="ctr">
            <a:solidFill>
              <a:schemeClr val="lt1">
                <a:alpha val="50000"/>
              </a:schemeClr>
            </a:solidFill>
            <a:round/>
          </a:ln>
          <a:effectLst/>
        </c:spPr>
      </c:pivotFmt>
      <c:pivotFmt>
        <c:idx val="6"/>
        <c:spPr>
          <a:solidFill>
            <a:schemeClr val="accent2">
              <a:shade val="72000"/>
              <a:alpha val="85000"/>
            </a:schemeClr>
          </a:solidFill>
          <a:ln w="9525" cap="flat" cmpd="sng" algn="ctr">
            <a:solidFill>
              <a:schemeClr val="lt1">
                <a:alpha val="50000"/>
              </a:schemeClr>
            </a:solidFill>
            <a:round/>
          </a:ln>
          <a:effectLst/>
        </c:spPr>
      </c:pivotFmt>
      <c:pivotFmt>
        <c:idx val="7"/>
        <c:spPr>
          <a:solidFill>
            <a:schemeClr val="accent2">
              <a:shade val="79000"/>
              <a:alpha val="85000"/>
            </a:schemeClr>
          </a:solidFill>
          <a:ln w="9525" cap="flat" cmpd="sng" algn="ctr">
            <a:solidFill>
              <a:schemeClr val="lt1">
                <a:alpha val="50000"/>
              </a:schemeClr>
            </a:solidFill>
            <a:round/>
          </a:ln>
          <a:effectLst/>
        </c:spPr>
      </c:pivotFmt>
      <c:pivotFmt>
        <c:idx val="8"/>
        <c:spPr>
          <a:solidFill>
            <a:schemeClr val="accent2">
              <a:shade val="86000"/>
              <a:alpha val="85000"/>
            </a:schemeClr>
          </a:solidFill>
          <a:ln w="9525" cap="flat" cmpd="sng" algn="ctr">
            <a:solidFill>
              <a:schemeClr val="lt1">
                <a:alpha val="50000"/>
              </a:schemeClr>
            </a:solidFill>
            <a:round/>
          </a:ln>
          <a:effectLst/>
        </c:spPr>
      </c:pivotFmt>
      <c:pivotFmt>
        <c:idx val="9"/>
        <c:spPr>
          <a:solidFill>
            <a:schemeClr val="accent2">
              <a:shade val="93000"/>
              <a:alpha val="85000"/>
            </a:schemeClr>
          </a:solidFill>
          <a:ln w="9525" cap="flat" cmpd="sng" algn="ctr">
            <a:solidFill>
              <a:schemeClr val="lt1">
                <a:alpha val="50000"/>
              </a:schemeClr>
            </a:solidFill>
            <a:round/>
          </a:ln>
          <a:effectLst/>
        </c:spPr>
      </c:pivotFmt>
      <c:pivotFmt>
        <c:idx val="10"/>
        <c:spPr>
          <a:solidFill>
            <a:schemeClr val="accent2">
              <a:alpha val="85000"/>
            </a:schemeClr>
          </a:solidFill>
          <a:ln w="9525" cap="flat" cmpd="sng" algn="ctr">
            <a:solidFill>
              <a:schemeClr val="lt1">
                <a:alpha val="50000"/>
              </a:schemeClr>
            </a:solidFill>
            <a:round/>
          </a:ln>
          <a:effectLst/>
        </c:spPr>
      </c:pivotFmt>
      <c:pivotFmt>
        <c:idx val="11"/>
        <c:spPr>
          <a:solidFill>
            <a:schemeClr val="accent2">
              <a:tint val="93000"/>
              <a:alpha val="85000"/>
            </a:schemeClr>
          </a:solidFill>
          <a:ln w="9525" cap="flat" cmpd="sng" algn="ctr">
            <a:solidFill>
              <a:schemeClr val="lt1">
                <a:alpha val="50000"/>
              </a:schemeClr>
            </a:solidFill>
            <a:round/>
          </a:ln>
          <a:effectLst/>
        </c:spPr>
      </c:pivotFmt>
      <c:pivotFmt>
        <c:idx val="12"/>
        <c:spPr>
          <a:solidFill>
            <a:schemeClr val="accent2">
              <a:tint val="86000"/>
              <a:alpha val="85000"/>
            </a:schemeClr>
          </a:solidFill>
          <a:ln w="9525" cap="flat" cmpd="sng" algn="ctr">
            <a:solidFill>
              <a:schemeClr val="lt1">
                <a:alpha val="50000"/>
              </a:schemeClr>
            </a:solidFill>
            <a:round/>
          </a:ln>
          <a:effectLst/>
        </c:spPr>
      </c:pivotFmt>
      <c:pivotFmt>
        <c:idx val="13"/>
        <c:spPr>
          <a:solidFill>
            <a:schemeClr val="accent2">
              <a:tint val="79000"/>
              <a:alpha val="85000"/>
            </a:schemeClr>
          </a:solidFill>
          <a:ln w="9525" cap="flat" cmpd="sng" algn="ctr">
            <a:solidFill>
              <a:schemeClr val="lt1">
                <a:alpha val="50000"/>
              </a:schemeClr>
            </a:solidFill>
            <a:round/>
          </a:ln>
          <a:effectLst/>
        </c:spPr>
      </c:pivotFmt>
      <c:pivotFmt>
        <c:idx val="14"/>
        <c:spPr>
          <a:solidFill>
            <a:schemeClr val="accent2">
              <a:tint val="72000"/>
              <a:alpha val="85000"/>
            </a:schemeClr>
          </a:solidFill>
          <a:ln w="9525" cap="flat" cmpd="sng" algn="ctr">
            <a:solidFill>
              <a:schemeClr val="lt1">
                <a:alpha val="50000"/>
              </a:schemeClr>
            </a:solidFill>
            <a:round/>
          </a:ln>
          <a:effectLst/>
        </c:spPr>
      </c:pivotFmt>
      <c:pivotFmt>
        <c:idx val="15"/>
        <c:spPr>
          <a:solidFill>
            <a:schemeClr val="accent2">
              <a:tint val="65000"/>
              <a:alpha val="85000"/>
            </a:schemeClr>
          </a:solidFill>
          <a:ln w="9525" cap="flat" cmpd="sng" algn="ctr">
            <a:solidFill>
              <a:schemeClr val="lt1">
                <a:alpha val="50000"/>
              </a:schemeClr>
            </a:solidFill>
            <a:round/>
          </a:ln>
          <a:effectLst/>
        </c:spPr>
      </c:pivotFmt>
      <c:pivotFmt>
        <c:idx val="16"/>
        <c:spPr>
          <a:solidFill>
            <a:schemeClr val="accent2">
              <a:tint val="58000"/>
              <a:alpha val="85000"/>
            </a:schemeClr>
          </a:solidFill>
          <a:ln w="9525" cap="flat" cmpd="sng" algn="ctr">
            <a:solidFill>
              <a:schemeClr val="lt1">
                <a:alpha val="50000"/>
              </a:schemeClr>
            </a:solidFill>
            <a:round/>
          </a:ln>
          <a:effectLst/>
        </c:spPr>
      </c:pivotFmt>
      <c:pivotFmt>
        <c:idx val="17"/>
        <c:spPr>
          <a:solidFill>
            <a:schemeClr val="accent2">
              <a:tint val="51000"/>
              <a:alpha val="85000"/>
            </a:schemeClr>
          </a:solidFill>
          <a:ln w="9525" cap="flat" cmpd="sng" algn="ctr">
            <a:solidFill>
              <a:schemeClr val="lt1">
                <a:alpha val="50000"/>
              </a:schemeClr>
            </a:solidFill>
            <a:round/>
          </a:ln>
          <a:effectLst/>
        </c:spPr>
      </c:pivotFmt>
      <c:pivotFmt>
        <c:idx val="18"/>
        <c:spPr>
          <a:solidFill>
            <a:schemeClr val="accent2">
              <a:tint val="44000"/>
              <a:alpha val="85000"/>
            </a:schemeClr>
          </a:solidFill>
          <a:ln w="9525" cap="flat" cmpd="sng" algn="ctr">
            <a:solidFill>
              <a:schemeClr val="lt1">
                <a:alpha val="50000"/>
              </a:schemeClr>
            </a:solidFill>
            <a:round/>
          </a:ln>
          <a:effectLst/>
        </c:spPr>
      </c:pivotFmt>
      <c:pivotFmt>
        <c:idx val="19"/>
        <c:spPr>
          <a:solidFill>
            <a:schemeClr val="accent2">
              <a:tint val="37000"/>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52236067366579164"/>
          <c:y val="0.24939596092155147"/>
          <c:w val="0.35082895888013998"/>
          <c:h val="0.62968613298337706"/>
        </c:manualLayout>
      </c:layout>
      <c:doughnutChart>
        <c:varyColors val="1"/>
        <c:ser>
          <c:idx val="0"/>
          <c:order val="0"/>
          <c:tx>
            <c:strRef>
              <c:f>Sheet4!$C$3</c:f>
              <c:strCache>
                <c:ptCount val="1"/>
                <c:pt idx="0">
                  <c:v>Total</c:v>
                </c:pt>
              </c:strCache>
            </c:strRef>
          </c:tx>
          <c:dPt>
            <c:idx val="0"/>
            <c:bubble3D val="0"/>
            <c:spPr>
              <a:solidFill>
                <a:schemeClr val="accent2">
                  <a:shade val="37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83BA-4BC7-AEF4-7BF0BB2A7336}"/>
              </c:ext>
            </c:extLst>
          </c:dPt>
          <c:dPt>
            <c:idx val="1"/>
            <c:bubble3D val="0"/>
            <c:spPr>
              <a:solidFill>
                <a:schemeClr val="accent2">
                  <a:shade val="44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83BA-4BC7-AEF4-7BF0BB2A7336}"/>
              </c:ext>
            </c:extLst>
          </c:dPt>
          <c:dPt>
            <c:idx val="2"/>
            <c:bubble3D val="0"/>
            <c:spPr>
              <a:solidFill>
                <a:schemeClr val="accent2">
                  <a:shade val="51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83BA-4BC7-AEF4-7BF0BB2A7336}"/>
              </c:ext>
            </c:extLst>
          </c:dPt>
          <c:dPt>
            <c:idx val="3"/>
            <c:bubble3D val="0"/>
            <c:spPr>
              <a:solidFill>
                <a:schemeClr val="accent2">
                  <a:shade val="58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83BA-4BC7-AEF4-7BF0BB2A7336}"/>
              </c:ext>
            </c:extLst>
          </c:dPt>
          <c:dPt>
            <c:idx val="4"/>
            <c:bubble3D val="0"/>
            <c:spPr>
              <a:solidFill>
                <a:schemeClr val="accent2">
                  <a:shade val="72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83BA-4BC7-AEF4-7BF0BB2A7336}"/>
              </c:ext>
            </c:extLst>
          </c:dPt>
          <c:dPt>
            <c:idx val="5"/>
            <c:bubble3D val="0"/>
            <c:spPr>
              <a:solidFill>
                <a:schemeClr val="accent2">
                  <a:shade val="86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83BA-4BC7-AEF4-7BF0BB2A7336}"/>
              </c:ext>
            </c:extLst>
          </c:dPt>
          <c:dPt>
            <c:idx val="6"/>
            <c:bubble3D val="0"/>
            <c:spPr>
              <a:solidFill>
                <a:schemeClr val="accent2">
                  <a:shade val="93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83BA-4BC7-AEF4-7BF0BB2A7336}"/>
              </c:ext>
            </c:extLst>
          </c:dPt>
          <c:dPt>
            <c:idx val="7"/>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F-83BA-4BC7-AEF4-7BF0BB2A7336}"/>
              </c:ext>
            </c:extLst>
          </c:dPt>
          <c:dPt>
            <c:idx val="8"/>
            <c:bubble3D val="0"/>
            <c:spPr>
              <a:solidFill>
                <a:schemeClr val="accent2">
                  <a:tint val="86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1-83BA-4BC7-AEF4-7BF0BB2A7336}"/>
              </c:ext>
            </c:extLst>
          </c:dPt>
          <c:dPt>
            <c:idx val="9"/>
            <c:bubble3D val="0"/>
            <c:spPr>
              <a:solidFill>
                <a:schemeClr val="accent2">
                  <a:tint val="79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3-83BA-4BC7-AEF4-7BF0BB2A7336}"/>
              </c:ext>
            </c:extLst>
          </c:dPt>
          <c:dPt>
            <c:idx val="10"/>
            <c:bubble3D val="0"/>
            <c:spPr>
              <a:solidFill>
                <a:schemeClr val="accent2">
                  <a:tint val="58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5-83BA-4BC7-AEF4-7BF0BB2A7336}"/>
              </c:ext>
            </c:extLst>
          </c:dPt>
          <c:dPt>
            <c:idx val="11"/>
            <c:bubble3D val="0"/>
            <c:spPr>
              <a:solidFill>
                <a:schemeClr val="accent2">
                  <a:tint val="51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7-83BA-4BC7-AEF4-7BF0BB2A7336}"/>
              </c:ext>
            </c:extLst>
          </c:dPt>
          <c:dPt>
            <c:idx val="12"/>
            <c:bubble3D val="0"/>
            <c:spPr>
              <a:solidFill>
                <a:schemeClr val="accent2">
                  <a:tint val="44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9-83BA-4BC7-AEF4-7BF0BB2A7336}"/>
              </c:ext>
            </c:extLst>
          </c:dPt>
          <c:dPt>
            <c:idx val="13"/>
            <c:bubble3D val="0"/>
            <c:spPr>
              <a:solidFill>
                <a:schemeClr val="accent2">
                  <a:tint val="37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B-83BA-4BC7-AEF4-7BF0BB2A7336}"/>
              </c:ext>
            </c:extLst>
          </c:dPt>
          <c:dPt>
            <c:idx val="14"/>
            <c:bubble3D val="0"/>
            <c:spPr>
              <a:solidFill>
                <a:schemeClr val="accent2">
                  <a:tint val="3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D-83BA-4BC7-AEF4-7BF0BB2A7336}"/>
              </c:ext>
            </c:extLst>
          </c:dPt>
          <c:dPt>
            <c:idx val="15"/>
            <c:bubble3D val="0"/>
            <c:spPr>
              <a:solidFill>
                <a:schemeClr val="accent2">
                  <a:tint val="21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F-83BA-4BC7-AEF4-7BF0BB2A7336}"/>
              </c:ext>
            </c:extLst>
          </c:dPt>
          <c:dPt>
            <c:idx val="16"/>
            <c:bubble3D val="0"/>
            <c:spPr>
              <a:solidFill>
                <a:schemeClr val="accent2">
                  <a:tint val="12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21-83BA-4BC7-AEF4-7BF0BB2A7336}"/>
              </c:ext>
            </c:extLst>
          </c:dPt>
          <c:dPt>
            <c:idx val="17"/>
            <c:bubble3D val="0"/>
            <c:spPr>
              <a:solidFill>
                <a:schemeClr val="accent2">
                  <a:tint val="2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23-83BA-4BC7-AEF4-7BF0BB2A7336}"/>
              </c:ext>
            </c:extLst>
          </c:dPt>
          <c:dPt>
            <c:idx val="18"/>
            <c:bubble3D val="0"/>
            <c:spPr>
              <a:solidFill>
                <a:schemeClr val="accent2">
                  <a:tint val="93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25-83BA-4BC7-AEF4-7BF0BB2A73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Sheet4!$B$4:$B$18</c:f>
              <c:strCache>
                <c:ptCount val="14"/>
                <c:pt idx="0">
                  <c:v>10 Things I Hate About You</c:v>
                </c:pt>
                <c:pt idx="1">
                  <c:v>101 Dalmatian Street</c:v>
                </c:pt>
                <c:pt idx="2">
                  <c:v>101 Dalmatians</c:v>
                </c:pt>
                <c:pt idx="3">
                  <c:v>101 Dalmatians 2: Patch's London Adventure</c:v>
                </c:pt>
                <c:pt idx="4">
                  <c:v>12 Dates of Christmas</c:v>
                </c:pt>
                <c:pt idx="5">
                  <c:v>A Bug's Life</c:v>
                </c:pt>
                <c:pt idx="6">
                  <c:v>A Celebration of the Music from Coco</c:v>
                </c:pt>
                <c:pt idx="7">
                  <c:v>A Goofy Movie</c:v>
                </c:pt>
                <c:pt idx="8">
                  <c:v>A Knight for a Day</c:v>
                </c:pt>
                <c:pt idx="9">
                  <c:v>A Ring of Endless Light</c:v>
                </c:pt>
                <c:pt idx="10">
                  <c:v>Aladdin</c:v>
                </c:pt>
                <c:pt idx="11">
                  <c:v>Aladdin and the King of Thieves</c:v>
                </c:pt>
                <c:pt idx="12">
                  <c:v>Aladdin and the Return of Jafar</c:v>
                </c:pt>
                <c:pt idx="13">
                  <c:v>Alice in Wonderland</c:v>
                </c:pt>
              </c:strCache>
            </c:strRef>
          </c:cat>
          <c:val>
            <c:numRef>
              <c:f>Sheet4!$C$4:$C$18</c:f>
              <c:numCache>
                <c:formatCode>General</c:formatCode>
                <c:ptCount val="14"/>
                <c:pt idx="0">
                  <c:v>7.3</c:v>
                </c:pt>
                <c:pt idx="1">
                  <c:v>6.2</c:v>
                </c:pt>
                <c:pt idx="2">
                  <c:v>5.7</c:v>
                </c:pt>
                <c:pt idx="3">
                  <c:v>5.8</c:v>
                </c:pt>
                <c:pt idx="4">
                  <c:v>6.3</c:v>
                </c:pt>
                <c:pt idx="5">
                  <c:v>7.2</c:v>
                </c:pt>
                <c:pt idx="6">
                  <c:v>7.6</c:v>
                </c:pt>
                <c:pt idx="7">
                  <c:v>6.8</c:v>
                </c:pt>
                <c:pt idx="8">
                  <c:v>7</c:v>
                </c:pt>
                <c:pt idx="9">
                  <c:v>6.1</c:v>
                </c:pt>
                <c:pt idx="10">
                  <c:v>7.5</c:v>
                </c:pt>
                <c:pt idx="11">
                  <c:v>6.4</c:v>
                </c:pt>
                <c:pt idx="12">
                  <c:v>5.9</c:v>
                </c:pt>
                <c:pt idx="13">
                  <c:v>7.4</c:v>
                </c:pt>
              </c:numCache>
            </c:numRef>
          </c:val>
          <c:extLst>
            <c:ext xmlns:c16="http://schemas.microsoft.com/office/drawing/2014/chart" uri="{C3380CC4-5D6E-409C-BE32-E72D297353CC}">
              <c16:uniqueId val="{00000000-ED73-4464-BD30-360C72FA1FF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9.7222222222222224E-2"/>
          <c:y val="0.15543635170603676"/>
          <c:w val="0.34166666666666667"/>
          <c:h val="0.7708398950131233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PROJECT=Disney Plus Shows.xlsx]Sheet6!PivotTable1</c:name>
    <c:fmtId val="1"/>
  </c:pivotSource>
  <c:chart>
    <c:title>
      <c:tx>
        <c:rich>
          <a:bodyPr rot="0" spcFirstLastPara="1" vertOverflow="ellipsis" vert="horz" wrap="square" anchor="ctr" anchorCtr="1"/>
          <a:lstStyle/>
          <a:p>
            <a:pPr>
              <a:defRPr sz="1200" b="0" i="0" u="none" strike="noStrike" kern="1200" spc="0" baseline="0">
                <a:solidFill>
                  <a:srgbClr val="002060"/>
                </a:solidFill>
                <a:latin typeface="+mn-lt"/>
                <a:ea typeface="+mn-ea"/>
                <a:cs typeface="+mn-cs"/>
              </a:defRPr>
            </a:pPr>
            <a:r>
              <a:rPr lang="en-US" sz="1200">
                <a:solidFill>
                  <a:srgbClr val="002060"/>
                </a:solidFill>
              </a:rPr>
              <a:t>Awards</a:t>
            </a:r>
            <a:r>
              <a:rPr lang="en-US" sz="1200" baseline="0">
                <a:solidFill>
                  <a:srgbClr val="002060"/>
                </a:solidFill>
              </a:rPr>
              <a:t> Distribution</a:t>
            </a:r>
            <a:endParaRPr lang="en-US" sz="1200">
              <a:solidFill>
                <a:srgbClr val="00206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Sheet6!$C$4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3F-49FA-8CD9-3FFE969F1E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3F-49FA-8CD9-3FFE969F1E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C67A-4F73-B1D0-A0E0801051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C67A-4F73-B1D0-A0E0801051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3F-49FA-8CD9-3FFE969F1E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C67A-4F73-B1D0-A0E0801051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C67A-4F73-B1D0-A0E08010510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4-C67A-4F73-B1D0-A0E08010510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C3F-49FA-8CD9-3FFE969F1E1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C3F-49FA-8CD9-3FFE969F1E1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8-C67A-4F73-B1D0-A0E08010510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C67A-4F73-B1D0-A0E08010510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9-C67A-4F73-B1D0-A0E080105103}"/>
              </c:ext>
            </c:extLst>
          </c:dPt>
          <c:dLbls>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Sheet6!$B$5:$B$16</c:f>
              <c:multiLvlStrCache>
                <c:ptCount val="10"/>
                <c:lvl>
                  <c:pt idx="0">
                    <c:v>1 nomination.</c:v>
                  </c:pt>
                  <c:pt idx="1">
                    <c:v>2 wins &amp; 1 nomination.</c:v>
                  </c:pt>
                  <c:pt idx="2">
                    <c:v>2 wins &amp; 13 nominations.</c:v>
                  </c:pt>
                  <c:pt idx="3">
                    <c:v>5 nominations.</c:v>
                  </c:pt>
                  <c:pt idx="4">
                    <c:v>5 wins &amp; 10 nominations.</c:v>
                  </c:pt>
                  <c:pt idx="5">
                    <c:v>7 wins &amp; 32 nominations.</c:v>
                  </c:pt>
                  <c:pt idx="6">
                    <c:v>Nominated for 1 Golden Globe. Another 3 wins &amp; 9 nominations.</c:v>
                  </c:pt>
                  <c:pt idx="7">
                    <c:v>Nominated for 1 Oscar. Another 1 nomination.</c:v>
                  </c:pt>
                  <c:pt idx="8">
                    <c:v>Nominated for 1 Oscar. Another 14 wins &amp; 20 nominations.</c:v>
                  </c:pt>
                  <c:pt idx="9">
                    <c:v>Won 2 Oscars. Another 31 wins &amp; 22 nominations.</c:v>
                  </c:pt>
                </c:lvl>
                <c:lvl>
                  <c:pt idx="0">
                    <c:v>Group1</c:v>
                  </c:pt>
                </c:lvl>
              </c:multiLvlStrCache>
            </c:multiLvlStrRef>
          </c:cat>
          <c:val>
            <c:numRef>
              <c:f>Sheet6!$C$5:$C$16</c:f>
              <c:numCache>
                <c:formatCode>General</c:formatCode>
                <c:ptCount val="10"/>
                <c:pt idx="0">
                  <c:v>2</c:v>
                </c:pt>
                <c:pt idx="1">
                  <c:v>2</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C67A-4F73-B1D0-A0E0801051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solidFill>
            <a:schemeClr val="accent2">
              <a:lumMod val="40000"/>
              <a:lumOff val="60000"/>
            </a:schemeClr>
          </a:solid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PROJECT=Disney Plus Shows.xlsx]Sheet1!PivotTable1</c:name>
    <c:fmtId val="3"/>
  </c:pivotSource>
  <c:chart>
    <c:title>
      <c:tx>
        <c:rich>
          <a:bodyPr rot="0" spcFirstLastPara="1" vertOverflow="ellipsis" vert="horz" wrap="square" anchor="ctr" anchorCtr="1"/>
          <a:lstStyle/>
          <a:p>
            <a:pPr>
              <a:defRPr sz="1200" b="1" i="0" u="none" strike="noStrike" kern="1200" baseline="0">
                <a:solidFill>
                  <a:schemeClr val="tx2">
                    <a:lumMod val="90000"/>
                    <a:lumOff val="10000"/>
                  </a:schemeClr>
                </a:solidFill>
                <a:latin typeface="+mn-lt"/>
                <a:ea typeface="+mn-ea"/>
                <a:cs typeface="+mn-cs"/>
              </a:defRPr>
            </a:pPr>
            <a:r>
              <a:rPr lang="en-IN" sz="1200">
                <a:solidFill>
                  <a:schemeClr val="tx2">
                    <a:lumMod val="90000"/>
                    <a:lumOff val="10000"/>
                  </a:schemeClr>
                </a:solidFill>
              </a:rPr>
              <a:t>Comparison of Genre popularity and Ratings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c:f>
              <c:strCache>
                <c:ptCount val="1"/>
                <c:pt idx="0">
                  <c:v>Count of Genre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Sheet1!$B$3:$B$16</c:f>
              <c:strCache>
                <c:ptCount val="13"/>
                <c:pt idx="0">
                  <c:v>Adventure, Comedy, Crime, Family</c:v>
                </c:pt>
                <c:pt idx="1">
                  <c:v>Adventure, Family, Fantasy, Musical, Romance</c:v>
                </c:pt>
                <c:pt idx="2">
                  <c:v>Animation, Adventure, Comedy, Family</c:v>
                </c:pt>
                <c:pt idx="3">
                  <c:v>Animation, Adventure, Comedy, Family, Fantasy, Musical, Romance</c:v>
                </c:pt>
                <c:pt idx="4">
                  <c:v>Animation, Adventure, Comedy, Family, Musical</c:v>
                </c:pt>
                <c:pt idx="5">
                  <c:v>Animation, Adventure, Comedy, Family, Musical, Romance</c:v>
                </c:pt>
                <c:pt idx="6">
                  <c:v>Animation, Adventure, Family, Fantasy, Musical</c:v>
                </c:pt>
                <c:pt idx="7">
                  <c:v>Animation, Comedy, Family</c:v>
                </c:pt>
                <c:pt idx="8">
                  <c:v>Animation, Short, Comedy</c:v>
                </c:pt>
                <c:pt idx="9">
                  <c:v>Comedy, Drama, Romance</c:v>
                </c:pt>
                <c:pt idx="10">
                  <c:v>Comedy, Fantasy, Romance</c:v>
                </c:pt>
                <c:pt idx="11">
                  <c:v>Drama, Family, Romance</c:v>
                </c:pt>
                <c:pt idx="12">
                  <c:v>Music</c:v>
                </c:pt>
              </c:strCache>
            </c:strRef>
          </c:cat>
          <c:val>
            <c:numRef>
              <c:f>Sheet1!$C$3:$C$16</c:f>
              <c:numCache>
                <c:formatCode>General</c:formatCode>
                <c:ptCount val="13"/>
                <c:pt idx="0">
                  <c:v>1</c:v>
                </c:pt>
                <c:pt idx="1">
                  <c:v>1</c:v>
                </c:pt>
                <c:pt idx="2">
                  <c:v>1</c:v>
                </c:pt>
                <c:pt idx="3">
                  <c:v>3</c:v>
                </c:pt>
                <c:pt idx="4">
                  <c:v>1</c:v>
                </c:pt>
                <c:pt idx="5">
                  <c:v>1</c:v>
                </c:pt>
                <c:pt idx="6">
                  <c:v>1</c:v>
                </c:pt>
                <c:pt idx="7">
                  <c:v>1</c:v>
                </c:pt>
                <c:pt idx="8">
                  <c:v>1</c:v>
                </c:pt>
                <c:pt idx="9">
                  <c:v>1</c:v>
                </c:pt>
                <c:pt idx="10">
                  <c:v>1</c:v>
                </c:pt>
                <c:pt idx="11">
                  <c:v>1</c:v>
                </c:pt>
                <c:pt idx="12">
                  <c:v>1</c:v>
                </c:pt>
              </c:numCache>
            </c:numRef>
          </c:val>
          <c:extLst>
            <c:ext xmlns:c16="http://schemas.microsoft.com/office/drawing/2014/chart" uri="{C3380CC4-5D6E-409C-BE32-E72D297353CC}">
              <c16:uniqueId val="{00000000-69C8-438F-9444-F96E2039008A}"/>
            </c:ext>
          </c:extLst>
        </c:ser>
        <c:ser>
          <c:idx val="1"/>
          <c:order val="1"/>
          <c:tx>
            <c:strRef>
              <c:f>Sheet1!$D$2</c:f>
              <c:strCache>
                <c:ptCount val="1"/>
                <c:pt idx="0">
                  <c:v>Average of imdb_rating</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Sheet1!$B$3:$B$16</c:f>
              <c:strCache>
                <c:ptCount val="13"/>
                <c:pt idx="0">
                  <c:v>Adventure, Comedy, Crime, Family</c:v>
                </c:pt>
                <c:pt idx="1">
                  <c:v>Adventure, Family, Fantasy, Musical, Romance</c:v>
                </c:pt>
                <c:pt idx="2">
                  <c:v>Animation, Adventure, Comedy, Family</c:v>
                </c:pt>
                <c:pt idx="3">
                  <c:v>Animation, Adventure, Comedy, Family, Fantasy, Musical, Romance</c:v>
                </c:pt>
                <c:pt idx="4">
                  <c:v>Animation, Adventure, Comedy, Family, Musical</c:v>
                </c:pt>
                <c:pt idx="5">
                  <c:v>Animation, Adventure, Comedy, Family, Musical, Romance</c:v>
                </c:pt>
                <c:pt idx="6">
                  <c:v>Animation, Adventure, Family, Fantasy, Musical</c:v>
                </c:pt>
                <c:pt idx="7">
                  <c:v>Animation, Comedy, Family</c:v>
                </c:pt>
                <c:pt idx="8">
                  <c:v>Animation, Short, Comedy</c:v>
                </c:pt>
                <c:pt idx="9">
                  <c:v>Comedy, Drama, Romance</c:v>
                </c:pt>
                <c:pt idx="10">
                  <c:v>Comedy, Fantasy, Romance</c:v>
                </c:pt>
                <c:pt idx="11">
                  <c:v>Drama, Family, Romance</c:v>
                </c:pt>
                <c:pt idx="12">
                  <c:v>Music</c:v>
                </c:pt>
              </c:strCache>
            </c:strRef>
          </c:cat>
          <c:val>
            <c:numRef>
              <c:f>Sheet1!$D$3:$D$16</c:f>
              <c:numCache>
                <c:formatCode>General</c:formatCode>
                <c:ptCount val="13"/>
                <c:pt idx="0">
                  <c:v>5.7</c:v>
                </c:pt>
                <c:pt idx="1">
                  <c:v>7</c:v>
                </c:pt>
                <c:pt idx="2">
                  <c:v>7.2</c:v>
                </c:pt>
                <c:pt idx="3">
                  <c:v>6.7666666666666666</c:v>
                </c:pt>
                <c:pt idx="4">
                  <c:v>5.8</c:v>
                </c:pt>
                <c:pt idx="5">
                  <c:v>6.8</c:v>
                </c:pt>
                <c:pt idx="6">
                  <c:v>7.4</c:v>
                </c:pt>
                <c:pt idx="7">
                  <c:v>6.2</c:v>
                </c:pt>
                <c:pt idx="8">
                  <c:v>7</c:v>
                </c:pt>
                <c:pt idx="9">
                  <c:v>7.3</c:v>
                </c:pt>
                <c:pt idx="10">
                  <c:v>6.3</c:v>
                </c:pt>
                <c:pt idx="11">
                  <c:v>6.1</c:v>
                </c:pt>
                <c:pt idx="12">
                  <c:v>7.6</c:v>
                </c:pt>
              </c:numCache>
            </c:numRef>
          </c:val>
          <c:extLst>
            <c:ext xmlns:c16="http://schemas.microsoft.com/office/drawing/2014/chart" uri="{C3380CC4-5D6E-409C-BE32-E72D297353CC}">
              <c16:uniqueId val="{00000001-69C8-438F-9444-F96E2039008A}"/>
            </c:ext>
          </c:extLst>
        </c:ser>
        <c:dLbls>
          <c:dLblPos val="outEnd"/>
          <c:showLegendKey val="0"/>
          <c:showVal val="1"/>
          <c:showCatName val="0"/>
          <c:showSerName val="0"/>
          <c:showPercent val="0"/>
          <c:showBubbleSize val="0"/>
        </c:dLbls>
        <c:gapWidth val="65"/>
        <c:axId val="431925375"/>
        <c:axId val="431926815"/>
      </c:barChart>
      <c:catAx>
        <c:axId val="431925375"/>
        <c:scaling>
          <c:orientation val="minMax"/>
        </c:scaling>
        <c:delete val="1"/>
        <c:axPos val="b"/>
        <c:numFmt formatCode="General" sourceLinked="1"/>
        <c:majorTickMark val="out"/>
        <c:minorTickMark val="none"/>
        <c:tickLblPos val="nextTo"/>
        <c:crossAx val="431926815"/>
        <c:crosses val="autoZero"/>
        <c:auto val="1"/>
        <c:lblAlgn val="ctr"/>
        <c:lblOffset val="100"/>
        <c:noMultiLvlLbl val="0"/>
      </c:catAx>
      <c:valAx>
        <c:axId val="431926815"/>
        <c:scaling>
          <c:orientation val="minMax"/>
        </c:scaling>
        <c:delete val="1"/>
        <c:axPos val="l"/>
        <c:numFmt formatCode="General" sourceLinked="1"/>
        <c:majorTickMark val="out"/>
        <c:minorTickMark val="none"/>
        <c:tickLblPos val="nextTo"/>
        <c:crossAx val="4319253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25000"/>
          <a:lumOff val="7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PROJECT=Disney Plus Shows.xlsx]Sheet2!PivotTable3</c:name>
    <c:fmtId val="7"/>
  </c:pivotSource>
  <c:chart>
    <c:title>
      <c:tx>
        <c:rich>
          <a:bodyPr rot="0" spcFirstLastPara="1" vertOverflow="ellipsis" vert="horz" wrap="square" anchor="ctr" anchorCtr="1"/>
          <a:lstStyle/>
          <a:p>
            <a:pPr>
              <a:defRPr sz="1200" b="1" i="0" u="none" strike="noStrike" kern="1200" baseline="0">
                <a:solidFill>
                  <a:schemeClr val="tx2">
                    <a:lumMod val="90000"/>
                    <a:lumOff val="10000"/>
                  </a:schemeClr>
                </a:solidFill>
                <a:latin typeface="+mn-lt"/>
                <a:ea typeface="+mn-ea"/>
                <a:cs typeface="+mn-cs"/>
              </a:defRPr>
            </a:pPr>
            <a:r>
              <a:rPr lang="en-US" sz="1200">
                <a:solidFill>
                  <a:schemeClr val="tx2">
                    <a:lumMod val="90000"/>
                    <a:lumOff val="10000"/>
                  </a:schemeClr>
                </a:solidFill>
              </a:rPr>
              <a:t>Top 10 Highest Rated Movies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09918002493135"/>
          <c:y val="0.26764264264264259"/>
          <c:w val="0.46443569553805775"/>
          <c:h val="0.56630429642240665"/>
        </c:manualLayout>
      </c:layout>
      <c:barChart>
        <c:barDir val="bar"/>
        <c:grouping val="clustered"/>
        <c:varyColors val="0"/>
        <c:ser>
          <c:idx val="0"/>
          <c:order val="0"/>
          <c:tx>
            <c:strRef>
              <c:f>Sheet2!$C$7</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Sheet2!$B$8:$B$18</c:f>
              <c:strCache>
                <c:ptCount val="10"/>
                <c:pt idx="0">
                  <c:v>10 Things I Hate About You</c:v>
                </c:pt>
                <c:pt idx="1">
                  <c:v>101 Dalmatian Street</c:v>
                </c:pt>
                <c:pt idx="2">
                  <c:v>12 Dates of Christmas</c:v>
                </c:pt>
                <c:pt idx="3">
                  <c:v>A Bug's Life</c:v>
                </c:pt>
                <c:pt idx="4">
                  <c:v>A Celebration of the Music from Coco</c:v>
                </c:pt>
                <c:pt idx="5">
                  <c:v>A Goofy Movie</c:v>
                </c:pt>
                <c:pt idx="6">
                  <c:v>A Knight for a Day</c:v>
                </c:pt>
                <c:pt idx="7">
                  <c:v>Aladdin</c:v>
                </c:pt>
                <c:pt idx="8">
                  <c:v>Aladdin and the King of Thieves</c:v>
                </c:pt>
                <c:pt idx="9">
                  <c:v>Alice in Wonderland</c:v>
                </c:pt>
              </c:strCache>
            </c:strRef>
          </c:cat>
          <c:val>
            <c:numRef>
              <c:f>Sheet2!$C$8:$C$18</c:f>
              <c:numCache>
                <c:formatCode>General</c:formatCode>
                <c:ptCount val="10"/>
                <c:pt idx="0">
                  <c:v>7.3</c:v>
                </c:pt>
                <c:pt idx="1">
                  <c:v>6.2</c:v>
                </c:pt>
                <c:pt idx="2">
                  <c:v>6.3</c:v>
                </c:pt>
                <c:pt idx="3">
                  <c:v>7.2</c:v>
                </c:pt>
                <c:pt idx="4">
                  <c:v>7.6</c:v>
                </c:pt>
                <c:pt idx="5">
                  <c:v>6.8</c:v>
                </c:pt>
                <c:pt idx="6">
                  <c:v>7</c:v>
                </c:pt>
                <c:pt idx="7">
                  <c:v>7.5</c:v>
                </c:pt>
                <c:pt idx="8">
                  <c:v>6.4</c:v>
                </c:pt>
                <c:pt idx="9">
                  <c:v>7.4</c:v>
                </c:pt>
              </c:numCache>
            </c:numRef>
          </c:val>
          <c:extLst>
            <c:ext xmlns:c16="http://schemas.microsoft.com/office/drawing/2014/chart" uri="{C3380CC4-5D6E-409C-BE32-E72D297353CC}">
              <c16:uniqueId val="{00000000-3D30-41C6-83B7-8520B2673608}"/>
            </c:ext>
          </c:extLst>
        </c:ser>
        <c:dLbls>
          <c:dLblPos val="inEnd"/>
          <c:showLegendKey val="0"/>
          <c:showVal val="1"/>
          <c:showCatName val="0"/>
          <c:showSerName val="0"/>
          <c:showPercent val="0"/>
          <c:showBubbleSize val="0"/>
        </c:dLbls>
        <c:gapWidth val="65"/>
        <c:axId val="550543295"/>
        <c:axId val="550555775"/>
      </c:barChart>
      <c:catAx>
        <c:axId val="5505432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0555775"/>
        <c:crosses val="autoZero"/>
        <c:auto val="1"/>
        <c:lblAlgn val="ctr"/>
        <c:lblOffset val="100"/>
        <c:noMultiLvlLbl val="0"/>
      </c:catAx>
      <c:valAx>
        <c:axId val="5505557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05432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PROJECT=Disney Plus Shows.xlsx]Sheet3!PivotTable4</c:name>
    <c:fmtId val="8"/>
  </c:pivotSource>
  <c:chart>
    <c:title>
      <c:tx>
        <c:rich>
          <a:bodyPr rot="0" spcFirstLastPara="1" vertOverflow="ellipsis" vert="horz" wrap="square" anchor="ctr" anchorCtr="1"/>
          <a:lstStyle/>
          <a:p>
            <a:pPr>
              <a:defRPr sz="1200" b="1" i="0" u="none" strike="noStrike" kern="1200" baseline="0">
                <a:solidFill>
                  <a:schemeClr val="tx2">
                    <a:lumMod val="90000"/>
                    <a:lumOff val="10000"/>
                  </a:schemeClr>
                </a:solidFill>
                <a:latin typeface="+mn-lt"/>
                <a:ea typeface="+mn-ea"/>
                <a:cs typeface="+mn-cs"/>
              </a:defRPr>
            </a:pPr>
            <a:r>
              <a:rPr lang="en-US" sz="1200">
                <a:solidFill>
                  <a:schemeClr val="tx2">
                    <a:lumMod val="90000"/>
                    <a:lumOff val="10000"/>
                  </a:schemeClr>
                </a:solidFill>
              </a:rPr>
              <a:t>Rating Status by Year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31750" cap="rnd" cmpd="sng" algn="ctr">
            <a:solidFill>
              <a:schemeClr val="accent2"/>
            </a:solidFill>
            <a:round/>
          </a:ln>
          <a:effectLst/>
        </c:spPr>
        <c:marker>
          <c:symbol val="circle"/>
          <c:size val="17"/>
          <c:spPr>
            <a:solidFill>
              <a:schemeClr val="accent2">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31750" cap="rnd" cmpd="sng" algn="ctr">
            <a:solidFill>
              <a:schemeClr val="accent2"/>
            </a:solidFill>
            <a:round/>
          </a:ln>
          <a:effectLst/>
        </c:spPr>
        <c:marker>
          <c:symbol val="circle"/>
          <c:size val="17"/>
          <c:spPr>
            <a:solidFill>
              <a:schemeClr val="accent2">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31750" cap="rnd" cmpd="sng" algn="ctr">
            <a:solidFill>
              <a:schemeClr val="accent2"/>
            </a:solidFill>
            <a:round/>
          </a:ln>
          <a:effectLst/>
        </c:spPr>
        <c:marker>
          <c:symbol val="circle"/>
          <c:size val="17"/>
          <c:spPr>
            <a:solidFill>
              <a:schemeClr val="accent2">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31750" cap="rnd" cmpd="sng" algn="ctr">
            <a:solidFill>
              <a:schemeClr val="accent2"/>
            </a:solidFill>
            <a:round/>
          </a:ln>
          <a:effectLst/>
        </c:spPr>
        <c:marker>
          <c:symbol val="circle"/>
          <c:size val="17"/>
          <c:spPr>
            <a:solidFill>
              <a:schemeClr val="accent2">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31750" cap="rnd" cmpd="sng" algn="ctr">
            <a:solidFill>
              <a:schemeClr val="accent2"/>
            </a:solidFill>
            <a:round/>
          </a:ln>
          <a:effectLst/>
        </c:spPr>
        <c:marker>
          <c:symbol val="circle"/>
          <c:size val="17"/>
          <c:spPr>
            <a:solidFill>
              <a:schemeClr val="accent2">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2"/>
            </a:solidFill>
            <a:round/>
          </a:ln>
          <a:effectLst/>
        </c:spPr>
        <c:marker>
          <c:symbol val="circle"/>
          <c:size val="17"/>
          <c:spPr>
            <a:solidFill>
              <a:schemeClr val="accent2">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Sheet3!$C$3:$C$4</c:f>
              <c:strCache>
                <c:ptCount val="1"/>
                <c:pt idx="0">
                  <c:v>Excellent</c:v>
                </c:pt>
              </c:strCache>
            </c:strRef>
          </c:tx>
          <c:spPr>
            <a:ln w="31750" cap="rnd">
              <a:solidFill>
                <a:schemeClr val="accent2">
                  <a:shade val="76000"/>
                </a:schemeClr>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Sheet3!$B$5:$B$18</c:f>
              <c:strCache>
                <c:ptCount val="13"/>
                <c:pt idx="0">
                  <c:v>1946</c:v>
                </c:pt>
                <c:pt idx="1">
                  <c:v>1951</c:v>
                </c:pt>
                <c:pt idx="2">
                  <c:v>1992</c:v>
                </c:pt>
                <c:pt idx="3">
                  <c:v>1994</c:v>
                </c:pt>
                <c:pt idx="4">
                  <c:v>1995</c:v>
                </c:pt>
                <c:pt idx="5">
                  <c:v>1996</c:v>
                </c:pt>
                <c:pt idx="6">
                  <c:v>1998</c:v>
                </c:pt>
                <c:pt idx="7">
                  <c:v>1999</c:v>
                </c:pt>
                <c:pt idx="8">
                  <c:v>2002</c:v>
                </c:pt>
                <c:pt idx="9">
                  <c:v>2011</c:v>
                </c:pt>
                <c:pt idx="10">
                  <c:v>2018</c:v>
                </c:pt>
                <c:pt idx="11">
                  <c:v>2019</c:v>
                </c:pt>
                <c:pt idx="12">
                  <c:v>2020</c:v>
                </c:pt>
              </c:strCache>
            </c:strRef>
          </c:cat>
          <c:val>
            <c:numRef>
              <c:f>Sheet3!$C$5:$C$18</c:f>
              <c:numCache>
                <c:formatCode>General</c:formatCode>
                <c:ptCount val="13"/>
                <c:pt idx="2">
                  <c:v>1</c:v>
                </c:pt>
              </c:numCache>
            </c:numRef>
          </c:val>
          <c:smooth val="0"/>
          <c:extLst>
            <c:ext xmlns:c16="http://schemas.microsoft.com/office/drawing/2014/chart" uri="{C3380CC4-5D6E-409C-BE32-E72D297353CC}">
              <c16:uniqueId val="{00000000-E40F-4D7A-9BC1-FCAA8E465420}"/>
            </c:ext>
          </c:extLst>
        </c:ser>
        <c:ser>
          <c:idx val="1"/>
          <c:order val="1"/>
          <c:tx>
            <c:strRef>
              <c:f>Sheet3!$D$3:$D$4</c:f>
              <c:strCache>
                <c:ptCount val="1"/>
                <c:pt idx="0">
                  <c:v>Good</c:v>
                </c:pt>
              </c:strCache>
            </c:strRef>
          </c:tx>
          <c:spPr>
            <a:ln w="31750" cap="rnd">
              <a:solidFill>
                <a:schemeClr val="accent2">
                  <a:tint val="77000"/>
                </a:schemeClr>
              </a:solidFill>
              <a:round/>
            </a:ln>
            <a:effectLst/>
          </c:spPr>
          <c:marker>
            <c:symbol val="circle"/>
            <c:size val="17"/>
            <c:spPr>
              <a:solidFill>
                <a:schemeClr val="accent2">
                  <a:tint val="6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Sheet3!$B$5:$B$18</c:f>
              <c:strCache>
                <c:ptCount val="13"/>
                <c:pt idx="0">
                  <c:v>1946</c:v>
                </c:pt>
                <c:pt idx="1">
                  <c:v>1951</c:v>
                </c:pt>
                <c:pt idx="2">
                  <c:v>1992</c:v>
                </c:pt>
                <c:pt idx="3">
                  <c:v>1994</c:v>
                </c:pt>
                <c:pt idx="4">
                  <c:v>1995</c:v>
                </c:pt>
                <c:pt idx="5">
                  <c:v>1996</c:v>
                </c:pt>
                <c:pt idx="6">
                  <c:v>1998</c:v>
                </c:pt>
                <c:pt idx="7">
                  <c:v>1999</c:v>
                </c:pt>
                <c:pt idx="8">
                  <c:v>2002</c:v>
                </c:pt>
                <c:pt idx="9">
                  <c:v>2011</c:v>
                </c:pt>
                <c:pt idx="10">
                  <c:v>2018</c:v>
                </c:pt>
                <c:pt idx="11">
                  <c:v>2019</c:v>
                </c:pt>
                <c:pt idx="12">
                  <c:v>2020</c:v>
                </c:pt>
              </c:strCache>
            </c:strRef>
          </c:cat>
          <c:val>
            <c:numRef>
              <c:f>Sheet3!$D$5:$D$18</c:f>
              <c:numCache>
                <c:formatCode>General</c:formatCode>
                <c:ptCount val="13"/>
                <c:pt idx="0">
                  <c:v>1</c:v>
                </c:pt>
                <c:pt idx="1">
                  <c:v>1</c:v>
                </c:pt>
                <c:pt idx="3">
                  <c:v>1</c:v>
                </c:pt>
                <c:pt idx="4">
                  <c:v>1</c:v>
                </c:pt>
                <c:pt idx="5">
                  <c:v>2</c:v>
                </c:pt>
                <c:pt idx="6">
                  <c:v>1</c:v>
                </c:pt>
                <c:pt idx="7">
                  <c:v>1</c:v>
                </c:pt>
                <c:pt idx="8">
                  <c:v>2</c:v>
                </c:pt>
                <c:pt idx="9">
                  <c:v>1</c:v>
                </c:pt>
                <c:pt idx="10">
                  <c:v>1</c:v>
                </c:pt>
                <c:pt idx="11">
                  <c:v>1</c:v>
                </c:pt>
                <c:pt idx="12">
                  <c:v>1</c:v>
                </c:pt>
              </c:numCache>
            </c:numRef>
          </c:val>
          <c:smooth val="0"/>
          <c:extLst>
            <c:ext xmlns:c16="http://schemas.microsoft.com/office/drawing/2014/chart" uri="{C3380CC4-5D6E-409C-BE32-E72D297353CC}">
              <c16:uniqueId val="{00000002-712A-4DB1-84A9-63AB36251F9E}"/>
            </c:ext>
          </c:extLst>
        </c:ser>
        <c:dLbls>
          <c:dLblPos val="ctr"/>
          <c:showLegendKey val="0"/>
          <c:showVal val="1"/>
          <c:showCatName val="0"/>
          <c:showSerName val="0"/>
          <c:showPercent val="0"/>
          <c:showBubbleSize val="0"/>
        </c:dLbls>
        <c:marker val="1"/>
        <c:smooth val="0"/>
        <c:axId val="550565855"/>
        <c:axId val="550553855"/>
      </c:lineChart>
      <c:catAx>
        <c:axId val="5505658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0553855"/>
        <c:crosses val="autoZero"/>
        <c:auto val="1"/>
        <c:lblAlgn val="ctr"/>
        <c:lblOffset val="100"/>
        <c:noMultiLvlLbl val="0"/>
      </c:catAx>
      <c:valAx>
        <c:axId val="550553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05658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PROJECT=Disney Plus Shows.xlsx]Sheet6!PivotTable1</c:name>
    <c:fmtId val="5"/>
  </c:pivotSource>
  <c:chart>
    <c:title>
      <c:tx>
        <c:rich>
          <a:bodyPr rot="0" spcFirstLastPara="1" vertOverflow="ellipsis" vert="horz" wrap="square" anchor="ctr" anchorCtr="1"/>
          <a:lstStyle/>
          <a:p>
            <a:pPr>
              <a:defRPr sz="1200" b="0" i="0" u="none" strike="noStrike" kern="1200" spc="0" baseline="0">
                <a:solidFill>
                  <a:schemeClr val="tx2">
                    <a:lumMod val="90000"/>
                    <a:lumOff val="10000"/>
                  </a:schemeClr>
                </a:solidFill>
                <a:latin typeface="+mn-lt"/>
                <a:ea typeface="+mn-ea"/>
                <a:cs typeface="+mn-cs"/>
              </a:defRPr>
            </a:pPr>
            <a:r>
              <a:rPr lang="en-US" sz="1200">
                <a:solidFill>
                  <a:schemeClr val="tx2">
                    <a:lumMod val="90000"/>
                    <a:lumOff val="10000"/>
                  </a:schemeClr>
                </a:solidFill>
              </a:rPr>
              <a:t>Awards</a:t>
            </a:r>
            <a:r>
              <a:rPr lang="en-US" sz="1200" baseline="0">
                <a:solidFill>
                  <a:schemeClr val="tx2">
                    <a:lumMod val="90000"/>
                    <a:lumOff val="10000"/>
                  </a:schemeClr>
                </a:solidFill>
              </a:rPr>
              <a:t> Distribution</a:t>
            </a:r>
            <a:endParaRPr lang="en-US" sz="1200">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4.4540682414698163E-2"/>
              <c:y val="-5.4348571011956837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2.675524934383202E-2"/>
              <c:y val="-8.4515529308836393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60000"/>
            </a:schemeClr>
          </a:solidFill>
          <a:ln w="19050">
            <a:solidFill>
              <a:schemeClr val="lt1"/>
            </a:solidFill>
          </a:ln>
          <a:effectLst/>
        </c:spPr>
        <c:dLbl>
          <c:idx val="0"/>
          <c:layout>
            <c:manualLayout>
              <c:x val="2.3912292213473317E-2"/>
              <c:y val="-1.8110236220472441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lumMod val="60000"/>
            </a:schemeClr>
          </a:solidFill>
          <a:ln w="19050">
            <a:solidFill>
              <a:schemeClr val="lt1"/>
            </a:solidFill>
          </a:ln>
          <a:effectLst/>
        </c:spPr>
        <c:dLbl>
          <c:idx val="0"/>
          <c:layout>
            <c:manualLayout>
              <c:x val="2.0233158355205599E-2"/>
              <c:y val="-3.120042286380869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2.0441929133858269E-2"/>
              <c:y val="-1.3480606590842811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schemeClr>
          </a:solidFill>
          <a:ln w="19050">
            <a:solidFill>
              <a:schemeClr val="lt1"/>
            </a:solidFill>
          </a:ln>
          <a:effectLst/>
        </c:spPr>
        <c:dLbl>
          <c:idx val="0"/>
          <c:layout>
            <c:manualLayout>
              <c:x val="2.5788713910761155E-2"/>
              <c:y val="3.3772965879265093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5">
              <a:lumMod val="60000"/>
            </a:schemeClr>
          </a:solidFill>
          <a:ln w="19050">
            <a:solidFill>
              <a:schemeClr val="lt1"/>
            </a:solidFill>
          </a:ln>
          <a:effectLst/>
        </c:spPr>
        <c:dLbl>
          <c:idx val="0"/>
          <c:layout>
            <c:manualLayout>
              <c:x val="2.1134405074365703E-2"/>
              <c:y val="2.5312044327792358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lumMod val="80000"/>
              <a:lumOff val="20000"/>
            </a:schemeClr>
          </a:solidFill>
          <a:ln w="19050">
            <a:solidFill>
              <a:schemeClr val="lt1"/>
            </a:solidFill>
          </a:ln>
          <a:effectLst/>
        </c:spPr>
        <c:dLbl>
          <c:idx val="0"/>
          <c:layout>
            <c:manualLayout>
              <c:x val="2.9532917760279966E-2"/>
              <c:y val="3.0375109361329835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2.0441929133858269E-2"/>
              <c:y val="-1.3480606590842811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4540682414698163E-2"/>
              <c:y val="-5.4348571011956837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2.675524934383202E-2"/>
              <c:y val="-8.4515529308836393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2.0233158355205599E-2"/>
              <c:y val="-3.120042286380869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2.3912292213473317E-2"/>
              <c:y val="-1.8110236220472441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dLbl>
          <c:idx val="0"/>
          <c:layout>
            <c:manualLayout>
              <c:x val="2.1134405074365703E-2"/>
              <c:y val="2.5312044327792358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2.5788713910761155E-2"/>
              <c:y val="3.3772965879265093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2.9532917760279966E-2"/>
              <c:y val="3.0375109361329835E-2"/>
            </c:manualLayout>
          </c:layout>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s>
    <c:plotArea>
      <c:layout/>
      <c:pieChart>
        <c:varyColors val="1"/>
        <c:ser>
          <c:idx val="0"/>
          <c:order val="0"/>
          <c:tx>
            <c:strRef>
              <c:f>Sheet6!$C$4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34-4C8D-9B3F-030144C1EF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34-4C8D-9B3F-030144C1EF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34-4C8D-9B3F-030144C1EF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34-4C8D-9B3F-030144C1EF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34-4C8D-9B3F-030144C1EFC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334-4C8D-9B3F-030144C1EFC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334-4C8D-9B3F-030144C1EFC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334-4C8D-9B3F-030144C1EFC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334-4C8D-9B3F-030144C1EFC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334-4C8D-9B3F-030144C1EFC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334-4C8D-9B3F-030144C1EFC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334-4C8D-9B3F-030144C1EFC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334-4C8D-9B3F-030144C1EFC3}"/>
              </c:ext>
            </c:extLst>
          </c:dPt>
          <c:dLbls>
            <c:spPr>
              <a:no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Sheet6!$B$5:$B$16</c:f>
              <c:multiLvlStrCache>
                <c:ptCount val="10"/>
                <c:lvl>
                  <c:pt idx="0">
                    <c:v>1 nomination.</c:v>
                  </c:pt>
                  <c:pt idx="1">
                    <c:v>2 wins &amp; 1 nomination.</c:v>
                  </c:pt>
                  <c:pt idx="2">
                    <c:v>2 wins &amp; 13 nominations.</c:v>
                  </c:pt>
                  <c:pt idx="3">
                    <c:v>5 nominations.</c:v>
                  </c:pt>
                  <c:pt idx="4">
                    <c:v>5 wins &amp; 10 nominations.</c:v>
                  </c:pt>
                  <c:pt idx="5">
                    <c:v>7 wins &amp; 32 nominations.</c:v>
                  </c:pt>
                  <c:pt idx="6">
                    <c:v>Nominated for 1 Golden Globe. Another 3 wins &amp; 9 nominations.</c:v>
                  </c:pt>
                  <c:pt idx="7">
                    <c:v>Nominated for 1 Oscar. Another 1 nomination.</c:v>
                  </c:pt>
                  <c:pt idx="8">
                    <c:v>Nominated for 1 Oscar. Another 14 wins &amp; 20 nominations.</c:v>
                  </c:pt>
                  <c:pt idx="9">
                    <c:v>Won 2 Oscars. Another 31 wins &amp; 22 nominations.</c:v>
                  </c:pt>
                </c:lvl>
                <c:lvl>
                  <c:pt idx="0">
                    <c:v>Group1</c:v>
                  </c:pt>
                </c:lvl>
              </c:multiLvlStrCache>
            </c:multiLvlStrRef>
          </c:cat>
          <c:val>
            <c:numRef>
              <c:f>Sheet6!$C$5:$C$16</c:f>
              <c:numCache>
                <c:formatCode>General</c:formatCode>
                <c:ptCount val="10"/>
                <c:pt idx="0">
                  <c:v>2</c:v>
                </c:pt>
                <c:pt idx="1">
                  <c:v>2</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1A-F334-4C8D-9B3F-030144C1EF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PROJECT=Disney Plus Shows.xlsx]Sheet4!PivotTable5</c:name>
    <c:fmtId val="20"/>
  </c:pivotSource>
  <c:chart>
    <c:title>
      <c:tx>
        <c:rich>
          <a:bodyPr rot="0" spcFirstLastPara="1" vertOverflow="ellipsis" vert="horz" wrap="square" anchor="ctr" anchorCtr="1"/>
          <a:lstStyle/>
          <a:p>
            <a:pPr>
              <a:defRPr sz="1200" b="1" i="0" u="none" strike="noStrike" kern="1200" baseline="0">
                <a:solidFill>
                  <a:schemeClr val="tx2">
                    <a:lumMod val="90000"/>
                    <a:lumOff val="10000"/>
                  </a:schemeClr>
                </a:solidFill>
                <a:latin typeface="+mn-lt"/>
                <a:ea typeface="+mn-ea"/>
                <a:cs typeface="+mn-cs"/>
              </a:defRPr>
            </a:pPr>
            <a:r>
              <a:rPr lang="en-US" sz="1200">
                <a:solidFill>
                  <a:schemeClr val="tx2">
                    <a:lumMod val="90000"/>
                    <a:lumOff val="10000"/>
                  </a:schemeClr>
                </a:solidFill>
              </a:rPr>
              <a:t>Average Rating</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37000"/>
              <a:alpha val="85000"/>
            </a:schemeClr>
          </a:solidFill>
          <a:ln w="9525" cap="flat" cmpd="sng" algn="ctr">
            <a:solidFill>
              <a:schemeClr val="lt1">
                <a:alpha val="50000"/>
              </a:schemeClr>
            </a:solidFill>
            <a:round/>
          </a:ln>
          <a:effectLst/>
        </c:spPr>
      </c:pivotFmt>
      <c:pivotFmt>
        <c:idx val="3"/>
        <c:spPr>
          <a:solidFill>
            <a:schemeClr val="accent2">
              <a:shade val="44000"/>
              <a:alpha val="85000"/>
            </a:schemeClr>
          </a:solidFill>
          <a:ln w="9525" cap="flat" cmpd="sng" algn="ctr">
            <a:solidFill>
              <a:schemeClr val="lt1">
                <a:alpha val="50000"/>
              </a:schemeClr>
            </a:solidFill>
            <a:round/>
          </a:ln>
          <a:effectLst/>
        </c:spPr>
      </c:pivotFmt>
      <c:pivotFmt>
        <c:idx val="4"/>
        <c:spPr>
          <a:solidFill>
            <a:schemeClr val="accent2">
              <a:shade val="51000"/>
              <a:alpha val="85000"/>
            </a:schemeClr>
          </a:solidFill>
          <a:ln w="9525" cap="flat" cmpd="sng" algn="ctr">
            <a:solidFill>
              <a:schemeClr val="lt1">
                <a:alpha val="50000"/>
              </a:schemeClr>
            </a:solidFill>
            <a:round/>
          </a:ln>
          <a:effectLst/>
        </c:spPr>
      </c:pivotFmt>
      <c:pivotFmt>
        <c:idx val="5"/>
        <c:spPr>
          <a:solidFill>
            <a:schemeClr val="accent2">
              <a:shade val="58000"/>
              <a:alpha val="85000"/>
            </a:schemeClr>
          </a:solidFill>
          <a:ln w="9525" cap="flat" cmpd="sng" algn="ctr">
            <a:solidFill>
              <a:schemeClr val="lt1">
                <a:alpha val="50000"/>
              </a:schemeClr>
            </a:solidFill>
            <a:round/>
          </a:ln>
          <a:effectLst/>
        </c:spPr>
      </c:pivotFmt>
      <c:pivotFmt>
        <c:idx val="6"/>
        <c:spPr>
          <a:solidFill>
            <a:schemeClr val="accent2">
              <a:shade val="65000"/>
              <a:alpha val="85000"/>
            </a:schemeClr>
          </a:solidFill>
          <a:ln w="9525" cap="flat" cmpd="sng" algn="ctr">
            <a:solidFill>
              <a:schemeClr val="lt1">
                <a:alpha val="50000"/>
              </a:schemeClr>
            </a:solidFill>
            <a:round/>
          </a:ln>
          <a:effectLst/>
        </c:spPr>
      </c:pivotFmt>
      <c:pivotFmt>
        <c:idx val="7"/>
        <c:spPr>
          <a:solidFill>
            <a:schemeClr val="accent2">
              <a:shade val="72000"/>
              <a:alpha val="85000"/>
            </a:schemeClr>
          </a:solidFill>
          <a:ln w="9525" cap="flat" cmpd="sng" algn="ctr">
            <a:solidFill>
              <a:schemeClr val="lt1">
                <a:alpha val="50000"/>
              </a:schemeClr>
            </a:solidFill>
            <a:round/>
          </a:ln>
          <a:effectLst/>
        </c:spPr>
      </c:pivotFmt>
      <c:pivotFmt>
        <c:idx val="8"/>
        <c:spPr>
          <a:solidFill>
            <a:schemeClr val="accent2">
              <a:shade val="79000"/>
              <a:alpha val="85000"/>
            </a:schemeClr>
          </a:solidFill>
          <a:ln w="9525" cap="flat" cmpd="sng" algn="ctr">
            <a:solidFill>
              <a:schemeClr val="lt1">
                <a:alpha val="50000"/>
              </a:schemeClr>
            </a:solidFill>
            <a:round/>
          </a:ln>
          <a:effectLst/>
        </c:spPr>
      </c:pivotFmt>
      <c:pivotFmt>
        <c:idx val="9"/>
        <c:spPr>
          <a:solidFill>
            <a:schemeClr val="accent2">
              <a:shade val="86000"/>
              <a:alpha val="85000"/>
            </a:schemeClr>
          </a:solidFill>
          <a:ln w="9525" cap="flat" cmpd="sng" algn="ctr">
            <a:solidFill>
              <a:schemeClr val="lt1">
                <a:alpha val="50000"/>
              </a:schemeClr>
            </a:solidFill>
            <a:round/>
          </a:ln>
          <a:effectLst/>
        </c:spPr>
      </c:pivotFmt>
      <c:pivotFmt>
        <c:idx val="10"/>
        <c:spPr>
          <a:solidFill>
            <a:schemeClr val="accent2">
              <a:shade val="93000"/>
              <a:alpha val="85000"/>
            </a:schemeClr>
          </a:solidFill>
          <a:ln w="9525" cap="flat" cmpd="sng" algn="ctr">
            <a:solidFill>
              <a:schemeClr val="lt1">
                <a:alpha val="50000"/>
              </a:schemeClr>
            </a:solidFill>
            <a:round/>
          </a:ln>
          <a:effectLst/>
        </c:spPr>
      </c:pivotFmt>
      <c:pivotFmt>
        <c:idx val="11"/>
        <c:spPr>
          <a:solidFill>
            <a:schemeClr val="accent2">
              <a:alpha val="85000"/>
            </a:schemeClr>
          </a:solidFill>
          <a:ln w="9525" cap="flat" cmpd="sng" algn="ctr">
            <a:solidFill>
              <a:schemeClr val="lt1">
                <a:alpha val="50000"/>
              </a:schemeClr>
            </a:solidFill>
            <a:round/>
          </a:ln>
          <a:effectLst/>
        </c:spPr>
      </c:pivotFmt>
      <c:pivotFmt>
        <c:idx val="12"/>
        <c:spPr>
          <a:solidFill>
            <a:schemeClr val="accent2">
              <a:tint val="93000"/>
              <a:alpha val="85000"/>
            </a:schemeClr>
          </a:solidFill>
          <a:ln w="9525" cap="flat" cmpd="sng" algn="ctr">
            <a:solidFill>
              <a:schemeClr val="lt1">
                <a:alpha val="50000"/>
              </a:schemeClr>
            </a:solidFill>
            <a:round/>
          </a:ln>
          <a:effectLst/>
        </c:spPr>
      </c:pivotFmt>
      <c:pivotFmt>
        <c:idx val="13"/>
        <c:spPr>
          <a:solidFill>
            <a:schemeClr val="accent2">
              <a:tint val="86000"/>
              <a:alpha val="85000"/>
            </a:schemeClr>
          </a:solidFill>
          <a:ln w="9525" cap="flat" cmpd="sng" algn="ctr">
            <a:solidFill>
              <a:schemeClr val="lt1">
                <a:alpha val="50000"/>
              </a:schemeClr>
            </a:solidFill>
            <a:round/>
          </a:ln>
          <a:effectLst/>
        </c:spPr>
      </c:pivotFmt>
      <c:pivotFmt>
        <c:idx val="14"/>
        <c:spPr>
          <a:solidFill>
            <a:schemeClr val="accent2">
              <a:tint val="79000"/>
              <a:alpha val="85000"/>
            </a:schemeClr>
          </a:solidFill>
          <a:ln w="9525" cap="flat" cmpd="sng" algn="ctr">
            <a:solidFill>
              <a:schemeClr val="lt1">
                <a:alpha val="50000"/>
              </a:schemeClr>
            </a:solidFill>
            <a:round/>
          </a:ln>
          <a:effectLst/>
        </c:spPr>
      </c:pivotFmt>
      <c:pivotFmt>
        <c:idx val="15"/>
        <c:spPr>
          <a:solidFill>
            <a:schemeClr val="accent2">
              <a:tint val="72000"/>
              <a:alpha val="85000"/>
            </a:schemeClr>
          </a:solidFill>
          <a:ln w="9525" cap="flat" cmpd="sng" algn="ctr">
            <a:solidFill>
              <a:schemeClr val="lt1">
                <a:alpha val="50000"/>
              </a:schemeClr>
            </a:solidFill>
            <a:round/>
          </a:ln>
          <a:effectLst/>
        </c:spPr>
      </c:pivotFmt>
      <c:pivotFmt>
        <c:idx val="16"/>
        <c:spPr>
          <a:solidFill>
            <a:schemeClr val="accent2">
              <a:tint val="65000"/>
              <a:alpha val="85000"/>
            </a:schemeClr>
          </a:solidFill>
          <a:ln w="9525" cap="flat" cmpd="sng" algn="ctr">
            <a:solidFill>
              <a:schemeClr val="lt1">
                <a:alpha val="50000"/>
              </a:schemeClr>
            </a:solidFill>
            <a:round/>
          </a:ln>
          <a:effectLst/>
        </c:spPr>
      </c:pivotFmt>
      <c:pivotFmt>
        <c:idx val="17"/>
        <c:spPr>
          <a:solidFill>
            <a:schemeClr val="accent2">
              <a:tint val="58000"/>
              <a:alpha val="85000"/>
            </a:schemeClr>
          </a:solidFill>
          <a:ln w="9525" cap="flat" cmpd="sng" algn="ctr">
            <a:solidFill>
              <a:schemeClr val="lt1">
                <a:alpha val="50000"/>
              </a:schemeClr>
            </a:solidFill>
            <a:round/>
          </a:ln>
          <a:effectLst/>
        </c:spPr>
      </c:pivotFmt>
      <c:pivotFmt>
        <c:idx val="18"/>
        <c:spPr>
          <a:solidFill>
            <a:schemeClr val="accent2">
              <a:tint val="51000"/>
              <a:alpha val="85000"/>
            </a:schemeClr>
          </a:solidFill>
          <a:ln w="9525" cap="flat" cmpd="sng" algn="ctr">
            <a:solidFill>
              <a:schemeClr val="lt1">
                <a:alpha val="50000"/>
              </a:schemeClr>
            </a:solidFill>
            <a:round/>
          </a:ln>
          <a:effectLst/>
        </c:spPr>
      </c:pivotFmt>
      <c:pivotFmt>
        <c:idx val="19"/>
        <c:spPr>
          <a:solidFill>
            <a:schemeClr val="accent2">
              <a:tint val="44000"/>
              <a:alpha val="85000"/>
            </a:schemeClr>
          </a:solidFill>
          <a:ln w="9525" cap="flat" cmpd="sng" algn="ctr">
            <a:solidFill>
              <a:schemeClr val="lt1">
                <a:alpha val="50000"/>
              </a:schemeClr>
            </a:solidFill>
            <a:round/>
          </a:ln>
          <a:effectLst/>
        </c:spPr>
      </c:pivotFmt>
      <c:pivotFmt>
        <c:idx val="20"/>
        <c:spPr>
          <a:solidFill>
            <a:schemeClr val="accent2">
              <a:tint val="37000"/>
              <a:alpha val="85000"/>
            </a:schemeClr>
          </a:solidFill>
          <a:ln w="9525" cap="flat" cmpd="sng" algn="ctr">
            <a:solidFill>
              <a:schemeClr val="lt1">
                <a:alpha val="50000"/>
              </a:schemeClr>
            </a:solidFill>
            <a:round/>
          </a:ln>
          <a:effectLst/>
        </c:spPr>
      </c:pivotFmt>
      <c:pivotFmt>
        <c:idx val="2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hade val="37000"/>
              <a:alpha val="85000"/>
            </a:schemeClr>
          </a:solidFill>
          <a:ln w="9525" cap="flat" cmpd="sng" algn="ctr">
            <a:solidFill>
              <a:schemeClr val="lt1">
                <a:alpha val="50000"/>
              </a:schemeClr>
            </a:solidFill>
            <a:round/>
          </a:ln>
          <a:effectLst/>
        </c:spPr>
      </c:pivotFmt>
      <c:pivotFmt>
        <c:idx val="23"/>
        <c:spPr>
          <a:solidFill>
            <a:schemeClr val="accent2">
              <a:shade val="44000"/>
              <a:alpha val="85000"/>
            </a:schemeClr>
          </a:solidFill>
          <a:ln w="9525" cap="flat" cmpd="sng" algn="ctr">
            <a:solidFill>
              <a:schemeClr val="lt1">
                <a:alpha val="50000"/>
              </a:schemeClr>
            </a:solidFill>
            <a:round/>
          </a:ln>
          <a:effectLst/>
        </c:spPr>
      </c:pivotFmt>
      <c:pivotFmt>
        <c:idx val="24"/>
        <c:spPr>
          <a:solidFill>
            <a:schemeClr val="accent2">
              <a:shade val="51000"/>
              <a:alpha val="85000"/>
            </a:schemeClr>
          </a:solidFill>
          <a:ln w="9525" cap="flat" cmpd="sng" algn="ctr">
            <a:solidFill>
              <a:schemeClr val="lt1">
                <a:alpha val="50000"/>
              </a:schemeClr>
            </a:solidFill>
            <a:round/>
          </a:ln>
          <a:effectLst/>
        </c:spPr>
      </c:pivotFmt>
      <c:pivotFmt>
        <c:idx val="25"/>
        <c:spPr>
          <a:solidFill>
            <a:schemeClr val="accent2">
              <a:shade val="58000"/>
              <a:alpha val="85000"/>
            </a:schemeClr>
          </a:solidFill>
          <a:ln w="9525" cap="flat" cmpd="sng" algn="ctr">
            <a:solidFill>
              <a:schemeClr val="lt1">
                <a:alpha val="50000"/>
              </a:schemeClr>
            </a:solidFill>
            <a:round/>
          </a:ln>
          <a:effectLst/>
        </c:spPr>
      </c:pivotFmt>
      <c:pivotFmt>
        <c:idx val="26"/>
        <c:spPr>
          <a:solidFill>
            <a:schemeClr val="accent2">
              <a:shade val="65000"/>
              <a:alpha val="85000"/>
            </a:schemeClr>
          </a:solidFill>
          <a:ln w="9525" cap="flat" cmpd="sng" algn="ctr">
            <a:solidFill>
              <a:schemeClr val="lt1">
                <a:alpha val="50000"/>
              </a:schemeClr>
            </a:solidFill>
            <a:round/>
          </a:ln>
          <a:effectLst/>
        </c:spPr>
      </c:pivotFmt>
      <c:pivotFmt>
        <c:idx val="27"/>
        <c:spPr>
          <a:solidFill>
            <a:schemeClr val="accent2">
              <a:shade val="72000"/>
              <a:alpha val="85000"/>
            </a:schemeClr>
          </a:solidFill>
          <a:ln w="9525" cap="flat" cmpd="sng" algn="ctr">
            <a:solidFill>
              <a:schemeClr val="lt1">
                <a:alpha val="50000"/>
              </a:schemeClr>
            </a:solidFill>
            <a:round/>
          </a:ln>
          <a:effectLst/>
        </c:spPr>
      </c:pivotFmt>
      <c:pivotFmt>
        <c:idx val="28"/>
        <c:spPr>
          <a:solidFill>
            <a:schemeClr val="accent2">
              <a:shade val="79000"/>
              <a:alpha val="85000"/>
            </a:schemeClr>
          </a:solidFill>
          <a:ln w="9525" cap="flat" cmpd="sng" algn="ctr">
            <a:solidFill>
              <a:schemeClr val="lt1">
                <a:alpha val="50000"/>
              </a:schemeClr>
            </a:solidFill>
            <a:round/>
          </a:ln>
          <a:effectLst/>
        </c:spPr>
      </c:pivotFmt>
      <c:pivotFmt>
        <c:idx val="29"/>
        <c:spPr>
          <a:solidFill>
            <a:schemeClr val="accent2">
              <a:shade val="86000"/>
              <a:alpha val="85000"/>
            </a:schemeClr>
          </a:solidFill>
          <a:ln w="9525" cap="flat" cmpd="sng" algn="ctr">
            <a:solidFill>
              <a:schemeClr val="lt1">
                <a:alpha val="50000"/>
              </a:schemeClr>
            </a:solidFill>
            <a:round/>
          </a:ln>
          <a:effectLst/>
        </c:spPr>
      </c:pivotFmt>
      <c:pivotFmt>
        <c:idx val="30"/>
        <c:spPr>
          <a:solidFill>
            <a:schemeClr val="accent2">
              <a:shade val="93000"/>
              <a:alpha val="85000"/>
            </a:schemeClr>
          </a:solidFill>
          <a:ln w="9525" cap="flat" cmpd="sng" algn="ctr">
            <a:solidFill>
              <a:schemeClr val="lt1">
                <a:alpha val="50000"/>
              </a:schemeClr>
            </a:solidFill>
            <a:round/>
          </a:ln>
          <a:effectLst/>
        </c:spPr>
      </c:pivotFmt>
      <c:pivotFmt>
        <c:idx val="31"/>
        <c:spPr>
          <a:solidFill>
            <a:schemeClr val="accent2">
              <a:alpha val="85000"/>
            </a:schemeClr>
          </a:solidFill>
          <a:ln w="9525" cap="flat" cmpd="sng" algn="ctr">
            <a:solidFill>
              <a:schemeClr val="lt1">
                <a:alpha val="50000"/>
              </a:schemeClr>
            </a:solidFill>
            <a:round/>
          </a:ln>
          <a:effectLst/>
        </c:spPr>
      </c:pivotFmt>
      <c:pivotFmt>
        <c:idx val="32"/>
        <c:spPr>
          <a:solidFill>
            <a:schemeClr val="accent2">
              <a:tint val="93000"/>
              <a:alpha val="85000"/>
            </a:schemeClr>
          </a:solidFill>
          <a:ln w="9525" cap="flat" cmpd="sng" algn="ctr">
            <a:solidFill>
              <a:schemeClr val="lt1">
                <a:alpha val="50000"/>
              </a:schemeClr>
            </a:solidFill>
            <a:round/>
          </a:ln>
          <a:effectLst/>
        </c:spPr>
      </c:pivotFmt>
      <c:pivotFmt>
        <c:idx val="33"/>
        <c:spPr>
          <a:solidFill>
            <a:schemeClr val="accent2">
              <a:tint val="86000"/>
              <a:alpha val="85000"/>
            </a:schemeClr>
          </a:solidFill>
          <a:ln w="9525" cap="flat" cmpd="sng" algn="ctr">
            <a:solidFill>
              <a:schemeClr val="lt1">
                <a:alpha val="50000"/>
              </a:schemeClr>
            </a:solidFill>
            <a:round/>
          </a:ln>
          <a:effectLst/>
        </c:spPr>
      </c:pivotFmt>
      <c:pivotFmt>
        <c:idx val="34"/>
        <c:spPr>
          <a:solidFill>
            <a:schemeClr val="accent2">
              <a:tint val="79000"/>
              <a:alpha val="85000"/>
            </a:schemeClr>
          </a:solidFill>
          <a:ln w="9525" cap="flat" cmpd="sng" algn="ctr">
            <a:solidFill>
              <a:schemeClr val="lt1">
                <a:alpha val="50000"/>
              </a:schemeClr>
            </a:solidFill>
            <a:round/>
          </a:ln>
          <a:effectLst/>
        </c:spPr>
      </c:pivotFmt>
      <c:pivotFmt>
        <c:idx val="35"/>
        <c:spPr>
          <a:solidFill>
            <a:schemeClr val="accent2">
              <a:tint val="72000"/>
              <a:alpha val="85000"/>
            </a:schemeClr>
          </a:solidFill>
          <a:ln w="9525" cap="flat" cmpd="sng" algn="ctr">
            <a:solidFill>
              <a:schemeClr val="lt1">
                <a:alpha val="50000"/>
              </a:schemeClr>
            </a:solidFill>
            <a:round/>
          </a:ln>
          <a:effectLst/>
        </c:spPr>
      </c:pivotFmt>
      <c:pivotFmt>
        <c:idx val="36"/>
        <c:spPr>
          <a:solidFill>
            <a:schemeClr val="accent2">
              <a:tint val="65000"/>
              <a:alpha val="85000"/>
            </a:schemeClr>
          </a:solidFill>
          <a:ln w="9525" cap="flat" cmpd="sng" algn="ctr">
            <a:solidFill>
              <a:schemeClr val="lt1">
                <a:alpha val="50000"/>
              </a:schemeClr>
            </a:solidFill>
            <a:round/>
          </a:ln>
          <a:effectLst/>
        </c:spPr>
      </c:pivotFmt>
      <c:pivotFmt>
        <c:idx val="37"/>
        <c:spPr>
          <a:solidFill>
            <a:schemeClr val="accent2">
              <a:tint val="58000"/>
              <a:alpha val="85000"/>
            </a:schemeClr>
          </a:solidFill>
          <a:ln w="9525" cap="flat" cmpd="sng" algn="ctr">
            <a:solidFill>
              <a:schemeClr val="lt1">
                <a:alpha val="50000"/>
              </a:schemeClr>
            </a:solidFill>
            <a:round/>
          </a:ln>
          <a:effectLst/>
        </c:spPr>
      </c:pivotFmt>
      <c:pivotFmt>
        <c:idx val="38"/>
        <c:spPr>
          <a:solidFill>
            <a:schemeClr val="accent2">
              <a:tint val="51000"/>
              <a:alpha val="85000"/>
            </a:schemeClr>
          </a:solidFill>
          <a:ln w="9525" cap="flat" cmpd="sng" algn="ctr">
            <a:solidFill>
              <a:schemeClr val="lt1">
                <a:alpha val="50000"/>
              </a:schemeClr>
            </a:solidFill>
            <a:round/>
          </a:ln>
          <a:effectLst/>
        </c:spPr>
      </c:pivotFmt>
      <c:pivotFmt>
        <c:idx val="39"/>
        <c:spPr>
          <a:solidFill>
            <a:schemeClr val="accent2">
              <a:tint val="44000"/>
              <a:alpha val="85000"/>
            </a:schemeClr>
          </a:solidFill>
          <a:ln w="9525" cap="flat" cmpd="sng" algn="ctr">
            <a:solidFill>
              <a:schemeClr val="lt1">
                <a:alpha val="50000"/>
              </a:schemeClr>
            </a:solidFill>
            <a:round/>
          </a:ln>
          <a:effectLst/>
        </c:spPr>
      </c:pivotFmt>
      <c:pivotFmt>
        <c:idx val="40"/>
        <c:spPr>
          <a:solidFill>
            <a:schemeClr val="accent2">
              <a:tint val="37000"/>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52236067366579164"/>
          <c:y val="0.24939596092155147"/>
          <c:w val="0.35082895888013998"/>
          <c:h val="0.62968613298337706"/>
        </c:manualLayout>
      </c:layout>
      <c:doughnutChart>
        <c:varyColors val="1"/>
        <c:ser>
          <c:idx val="0"/>
          <c:order val="0"/>
          <c:tx>
            <c:strRef>
              <c:f>Sheet4!$C$3</c:f>
              <c:strCache>
                <c:ptCount val="1"/>
                <c:pt idx="0">
                  <c:v>Total</c:v>
                </c:pt>
              </c:strCache>
            </c:strRef>
          </c:tx>
          <c:dPt>
            <c:idx val="0"/>
            <c:bubble3D val="0"/>
            <c:spPr>
              <a:solidFill>
                <a:schemeClr val="accent2">
                  <a:shade val="37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C7B1-4910-B71D-C897396C87D3}"/>
              </c:ext>
            </c:extLst>
          </c:dPt>
          <c:dPt>
            <c:idx val="1"/>
            <c:bubble3D val="0"/>
            <c:spPr>
              <a:solidFill>
                <a:schemeClr val="accent2">
                  <a:shade val="44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C7B1-4910-B71D-C897396C87D3}"/>
              </c:ext>
            </c:extLst>
          </c:dPt>
          <c:dPt>
            <c:idx val="2"/>
            <c:bubble3D val="0"/>
            <c:spPr>
              <a:solidFill>
                <a:schemeClr val="accent2">
                  <a:shade val="51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C7B1-4910-B71D-C897396C87D3}"/>
              </c:ext>
            </c:extLst>
          </c:dPt>
          <c:dPt>
            <c:idx val="3"/>
            <c:bubble3D val="0"/>
            <c:spPr>
              <a:solidFill>
                <a:schemeClr val="accent2">
                  <a:shade val="58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C7B1-4910-B71D-C897396C87D3}"/>
              </c:ext>
            </c:extLst>
          </c:dPt>
          <c:dPt>
            <c:idx val="4"/>
            <c:bubble3D val="0"/>
            <c:spPr>
              <a:solidFill>
                <a:schemeClr val="accent2">
                  <a:shade val="72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C7B1-4910-B71D-C897396C87D3}"/>
              </c:ext>
            </c:extLst>
          </c:dPt>
          <c:dPt>
            <c:idx val="5"/>
            <c:bubble3D val="0"/>
            <c:spPr>
              <a:solidFill>
                <a:schemeClr val="accent2">
                  <a:shade val="86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C7B1-4910-B71D-C897396C87D3}"/>
              </c:ext>
            </c:extLst>
          </c:dPt>
          <c:dPt>
            <c:idx val="6"/>
            <c:bubble3D val="0"/>
            <c:spPr>
              <a:solidFill>
                <a:schemeClr val="accent2">
                  <a:shade val="93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C7B1-4910-B71D-C897396C87D3}"/>
              </c:ext>
            </c:extLst>
          </c:dPt>
          <c:dPt>
            <c:idx val="7"/>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F-C7B1-4910-B71D-C897396C87D3}"/>
              </c:ext>
            </c:extLst>
          </c:dPt>
          <c:dPt>
            <c:idx val="8"/>
            <c:bubble3D val="0"/>
            <c:spPr>
              <a:solidFill>
                <a:schemeClr val="accent2">
                  <a:tint val="86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1-C7B1-4910-B71D-C897396C87D3}"/>
              </c:ext>
            </c:extLst>
          </c:dPt>
          <c:dPt>
            <c:idx val="9"/>
            <c:bubble3D val="0"/>
            <c:spPr>
              <a:solidFill>
                <a:schemeClr val="accent2">
                  <a:tint val="79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3-C7B1-4910-B71D-C897396C87D3}"/>
              </c:ext>
            </c:extLst>
          </c:dPt>
          <c:dPt>
            <c:idx val="10"/>
            <c:bubble3D val="0"/>
            <c:spPr>
              <a:solidFill>
                <a:schemeClr val="accent2">
                  <a:tint val="58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5-C7B1-4910-B71D-C897396C87D3}"/>
              </c:ext>
            </c:extLst>
          </c:dPt>
          <c:dPt>
            <c:idx val="11"/>
            <c:bubble3D val="0"/>
            <c:spPr>
              <a:solidFill>
                <a:schemeClr val="accent2">
                  <a:tint val="51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7-C7B1-4910-B71D-C897396C87D3}"/>
              </c:ext>
            </c:extLst>
          </c:dPt>
          <c:dPt>
            <c:idx val="12"/>
            <c:bubble3D val="0"/>
            <c:spPr>
              <a:solidFill>
                <a:schemeClr val="accent2">
                  <a:tint val="44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9-C7B1-4910-B71D-C897396C87D3}"/>
              </c:ext>
            </c:extLst>
          </c:dPt>
          <c:dPt>
            <c:idx val="13"/>
            <c:bubble3D val="0"/>
            <c:spPr>
              <a:solidFill>
                <a:schemeClr val="accent2">
                  <a:tint val="37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B-C7B1-4910-B71D-C897396C87D3}"/>
              </c:ext>
            </c:extLst>
          </c:dPt>
          <c:dPt>
            <c:idx val="14"/>
            <c:bubble3D val="0"/>
            <c:spPr>
              <a:solidFill>
                <a:schemeClr val="accent2">
                  <a:tint val="3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D-C7B1-4910-B71D-C897396C87D3}"/>
              </c:ext>
            </c:extLst>
          </c:dPt>
          <c:dPt>
            <c:idx val="15"/>
            <c:bubble3D val="0"/>
            <c:spPr>
              <a:solidFill>
                <a:schemeClr val="accent2">
                  <a:tint val="21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F-C7B1-4910-B71D-C897396C87D3}"/>
              </c:ext>
            </c:extLst>
          </c:dPt>
          <c:dPt>
            <c:idx val="16"/>
            <c:bubble3D val="0"/>
            <c:spPr>
              <a:solidFill>
                <a:schemeClr val="accent2">
                  <a:tint val="12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21-C7B1-4910-B71D-C897396C87D3}"/>
              </c:ext>
            </c:extLst>
          </c:dPt>
          <c:dPt>
            <c:idx val="17"/>
            <c:bubble3D val="0"/>
            <c:spPr>
              <a:solidFill>
                <a:schemeClr val="accent2">
                  <a:tint val="2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23-C7B1-4910-B71D-C897396C87D3}"/>
              </c:ext>
            </c:extLst>
          </c:dPt>
          <c:dPt>
            <c:idx val="18"/>
            <c:bubble3D val="0"/>
            <c:spPr>
              <a:solidFill>
                <a:schemeClr val="accent2">
                  <a:tint val="93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25-C7B1-4910-B71D-C897396C87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Sheet4!$B$4:$B$18</c:f>
              <c:strCache>
                <c:ptCount val="14"/>
                <c:pt idx="0">
                  <c:v>10 Things I Hate About You</c:v>
                </c:pt>
                <c:pt idx="1">
                  <c:v>101 Dalmatian Street</c:v>
                </c:pt>
                <c:pt idx="2">
                  <c:v>101 Dalmatians</c:v>
                </c:pt>
                <c:pt idx="3">
                  <c:v>101 Dalmatians 2: Patch's London Adventure</c:v>
                </c:pt>
                <c:pt idx="4">
                  <c:v>12 Dates of Christmas</c:v>
                </c:pt>
                <c:pt idx="5">
                  <c:v>A Bug's Life</c:v>
                </c:pt>
                <c:pt idx="6">
                  <c:v>A Celebration of the Music from Coco</c:v>
                </c:pt>
                <c:pt idx="7">
                  <c:v>A Goofy Movie</c:v>
                </c:pt>
                <c:pt idx="8">
                  <c:v>A Knight for a Day</c:v>
                </c:pt>
                <c:pt idx="9">
                  <c:v>A Ring of Endless Light</c:v>
                </c:pt>
                <c:pt idx="10">
                  <c:v>Aladdin</c:v>
                </c:pt>
                <c:pt idx="11">
                  <c:v>Aladdin and the King of Thieves</c:v>
                </c:pt>
                <c:pt idx="12">
                  <c:v>Aladdin and the Return of Jafar</c:v>
                </c:pt>
                <c:pt idx="13">
                  <c:v>Alice in Wonderland</c:v>
                </c:pt>
              </c:strCache>
            </c:strRef>
          </c:cat>
          <c:val>
            <c:numRef>
              <c:f>Sheet4!$C$4:$C$18</c:f>
              <c:numCache>
                <c:formatCode>General</c:formatCode>
                <c:ptCount val="14"/>
                <c:pt idx="0">
                  <c:v>7.3</c:v>
                </c:pt>
                <c:pt idx="1">
                  <c:v>6.2</c:v>
                </c:pt>
                <c:pt idx="2">
                  <c:v>5.7</c:v>
                </c:pt>
                <c:pt idx="3">
                  <c:v>5.8</c:v>
                </c:pt>
                <c:pt idx="4">
                  <c:v>6.3</c:v>
                </c:pt>
                <c:pt idx="5">
                  <c:v>7.2</c:v>
                </c:pt>
                <c:pt idx="6">
                  <c:v>7.6</c:v>
                </c:pt>
                <c:pt idx="7">
                  <c:v>6.8</c:v>
                </c:pt>
                <c:pt idx="8">
                  <c:v>7</c:v>
                </c:pt>
                <c:pt idx="9">
                  <c:v>6.1</c:v>
                </c:pt>
                <c:pt idx="10">
                  <c:v>7.5</c:v>
                </c:pt>
                <c:pt idx="11">
                  <c:v>6.4</c:v>
                </c:pt>
                <c:pt idx="12">
                  <c:v>5.9</c:v>
                </c:pt>
                <c:pt idx="13">
                  <c:v>7.4</c:v>
                </c:pt>
              </c:numCache>
            </c:numRef>
          </c:val>
          <c:extLst>
            <c:ext xmlns:c16="http://schemas.microsoft.com/office/drawing/2014/chart" uri="{C3380CC4-5D6E-409C-BE32-E72D297353CC}">
              <c16:uniqueId val="{00000026-C7B1-4910-B71D-C897396C87D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3.6818378897328044E-2"/>
          <c:y val="8.3691001775067109E-2"/>
          <c:w val="0.33879617370837495"/>
          <c:h val="0.8020299485685676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PROJECT=Disney Plus Shows.xlsx]Sheet1!PivotTable1</c:name>
    <c:fmtId val="0"/>
  </c:pivotSource>
  <c:chart>
    <c:title>
      <c:tx>
        <c:rich>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r>
              <a:rPr lang="en-IN" sz="1200">
                <a:solidFill>
                  <a:srgbClr val="002060"/>
                </a:solidFill>
              </a:rPr>
              <a:t>Comparison of Genre popularity and Ratings</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c:f>
              <c:strCache>
                <c:ptCount val="1"/>
                <c:pt idx="0">
                  <c:v>Count of Genre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Sheet1!$B$3:$B$16</c:f>
              <c:strCache>
                <c:ptCount val="13"/>
                <c:pt idx="0">
                  <c:v>Adventure, Comedy, Crime, Family</c:v>
                </c:pt>
                <c:pt idx="1">
                  <c:v>Adventure, Family, Fantasy, Musical, Romance</c:v>
                </c:pt>
                <c:pt idx="2">
                  <c:v>Animation, Adventure, Comedy, Family</c:v>
                </c:pt>
                <c:pt idx="3">
                  <c:v>Animation, Adventure, Comedy, Family, Fantasy, Musical, Romance</c:v>
                </c:pt>
                <c:pt idx="4">
                  <c:v>Animation, Adventure, Comedy, Family, Musical</c:v>
                </c:pt>
                <c:pt idx="5">
                  <c:v>Animation, Adventure, Comedy, Family, Musical, Romance</c:v>
                </c:pt>
                <c:pt idx="6">
                  <c:v>Animation, Adventure, Family, Fantasy, Musical</c:v>
                </c:pt>
                <c:pt idx="7">
                  <c:v>Animation, Comedy, Family</c:v>
                </c:pt>
                <c:pt idx="8">
                  <c:v>Animation, Short, Comedy</c:v>
                </c:pt>
                <c:pt idx="9">
                  <c:v>Comedy, Drama, Romance</c:v>
                </c:pt>
                <c:pt idx="10">
                  <c:v>Comedy, Fantasy, Romance</c:v>
                </c:pt>
                <c:pt idx="11">
                  <c:v>Drama, Family, Romance</c:v>
                </c:pt>
                <c:pt idx="12">
                  <c:v>Music</c:v>
                </c:pt>
              </c:strCache>
            </c:strRef>
          </c:cat>
          <c:val>
            <c:numRef>
              <c:f>Sheet1!$C$3:$C$16</c:f>
              <c:numCache>
                <c:formatCode>General</c:formatCode>
                <c:ptCount val="13"/>
                <c:pt idx="0">
                  <c:v>1</c:v>
                </c:pt>
                <c:pt idx="1">
                  <c:v>1</c:v>
                </c:pt>
                <c:pt idx="2">
                  <c:v>1</c:v>
                </c:pt>
                <c:pt idx="3">
                  <c:v>3</c:v>
                </c:pt>
                <c:pt idx="4">
                  <c:v>1</c:v>
                </c:pt>
                <c:pt idx="5">
                  <c:v>1</c:v>
                </c:pt>
                <c:pt idx="6">
                  <c:v>1</c:v>
                </c:pt>
                <c:pt idx="7">
                  <c:v>1</c:v>
                </c:pt>
                <c:pt idx="8">
                  <c:v>1</c:v>
                </c:pt>
                <c:pt idx="9">
                  <c:v>1</c:v>
                </c:pt>
                <c:pt idx="10">
                  <c:v>1</c:v>
                </c:pt>
                <c:pt idx="11">
                  <c:v>1</c:v>
                </c:pt>
                <c:pt idx="12">
                  <c:v>1</c:v>
                </c:pt>
              </c:numCache>
            </c:numRef>
          </c:val>
          <c:extLst>
            <c:ext xmlns:c16="http://schemas.microsoft.com/office/drawing/2014/chart" uri="{C3380CC4-5D6E-409C-BE32-E72D297353CC}">
              <c16:uniqueId val="{00000000-381D-41C3-87FD-931996AC077F}"/>
            </c:ext>
          </c:extLst>
        </c:ser>
        <c:ser>
          <c:idx val="1"/>
          <c:order val="1"/>
          <c:tx>
            <c:strRef>
              <c:f>Sheet1!$D$2</c:f>
              <c:strCache>
                <c:ptCount val="1"/>
                <c:pt idx="0">
                  <c:v>Average of imdb_rating</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Sheet1!$B$3:$B$16</c:f>
              <c:strCache>
                <c:ptCount val="13"/>
                <c:pt idx="0">
                  <c:v>Adventure, Comedy, Crime, Family</c:v>
                </c:pt>
                <c:pt idx="1">
                  <c:v>Adventure, Family, Fantasy, Musical, Romance</c:v>
                </c:pt>
                <c:pt idx="2">
                  <c:v>Animation, Adventure, Comedy, Family</c:v>
                </c:pt>
                <c:pt idx="3">
                  <c:v>Animation, Adventure, Comedy, Family, Fantasy, Musical, Romance</c:v>
                </c:pt>
                <c:pt idx="4">
                  <c:v>Animation, Adventure, Comedy, Family, Musical</c:v>
                </c:pt>
                <c:pt idx="5">
                  <c:v>Animation, Adventure, Comedy, Family, Musical, Romance</c:v>
                </c:pt>
                <c:pt idx="6">
                  <c:v>Animation, Adventure, Family, Fantasy, Musical</c:v>
                </c:pt>
                <c:pt idx="7">
                  <c:v>Animation, Comedy, Family</c:v>
                </c:pt>
                <c:pt idx="8">
                  <c:v>Animation, Short, Comedy</c:v>
                </c:pt>
                <c:pt idx="9">
                  <c:v>Comedy, Drama, Romance</c:v>
                </c:pt>
                <c:pt idx="10">
                  <c:v>Comedy, Fantasy, Romance</c:v>
                </c:pt>
                <c:pt idx="11">
                  <c:v>Drama, Family, Romance</c:v>
                </c:pt>
                <c:pt idx="12">
                  <c:v>Music</c:v>
                </c:pt>
              </c:strCache>
            </c:strRef>
          </c:cat>
          <c:val>
            <c:numRef>
              <c:f>Sheet1!$D$3:$D$16</c:f>
              <c:numCache>
                <c:formatCode>General</c:formatCode>
                <c:ptCount val="13"/>
                <c:pt idx="0">
                  <c:v>5.7</c:v>
                </c:pt>
                <c:pt idx="1">
                  <c:v>7</c:v>
                </c:pt>
                <c:pt idx="2">
                  <c:v>7.2</c:v>
                </c:pt>
                <c:pt idx="3">
                  <c:v>6.7666666666666666</c:v>
                </c:pt>
                <c:pt idx="4">
                  <c:v>5.8</c:v>
                </c:pt>
                <c:pt idx="5">
                  <c:v>6.8</c:v>
                </c:pt>
                <c:pt idx="6">
                  <c:v>7.4</c:v>
                </c:pt>
                <c:pt idx="7">
                  <c:v>6.2</c:v>
                </c:pt>
                <c:pt idx="8">
                  <c:v>7</c:v>
                </c:pt>
                <c:pt idx="9">
                  <c:v>7.3</c:v>
                </c:pt>
                <c:pt idx="10">
                  <c:v>6.3</c:v>
                </c:pt>
                <c:pt idx="11">
                  <c:v>6.1</c:v>
                </c:pt>
                <c:pt idx="12">
                  <c:v>7.6</c:v>
                </c:pt>
              </c:numCache>
            </c:numRef>
          </c:val>
          <c:extLst>
            <c:ext xmlns:c16="http://schemas.microsoft.com/office/drawing/2014/chart" uri="{C3380CC4-5D6E-409C-BE32-E72D297353CC}">
              <c16:uniqueId val="{00000001-381D-41C3-87FD-931996AC077F}"/>
            </c:ext>
          </c:extLst>
        </c:ser>
        <c:dLbls>
          <c:dLblPos val="outEnd"/>
          <c:showLegendKey val="0"/>
          <c:showVal val="1"/>
          <c:showCatName val="0"/>
          <c:showSerName val="0"/>
          <c:showPercent val="0"/>
          <c:showBubbleSize val="0"/>
        </c:dLbls>
        <c:gapWidth val="65"/>
        <c:axId val="431925375"/>
        <c:axId val="431926815"/>
      </c:barChart>
      <c:catAx>
        <c:axId val="431925375"/>
        <c:scaling>
          <c:orientation val="minMax"/>
        </c:scaling>
        <c:delete val="1"/>
        <c:axPos val="b"/>
        <c:numFmt formatCode="General" sourceLinked="1"/>
        <c:majorTickMark val="out"/>
        <c:minorTickMark val="none"/>
        <c:tickLblPos val="nextTo"/>
        <c:crossAx val="431926815"/>
        <c:crosses val="autoZero"/>
        <c:auto val="1"/>
        <c:lblAlgn val="ctr"/>
        <c:lblOffset val="100"/>
        <c:noMultiLvlLbl val="0"/>
      </c:catAx>
      <c:valAx>
        <c:axId val="431926815"/>
        <c:scaling>
          <c:orientation val="minMax"/>
        </c:scaling>
        <c:delete val="1"/>
        <c:axPos val="l"/>
        <c:numFmt formatCode="General" sourceLinked="1"/>
        <c:majorTickMark val="out"/>
        <c:minorTickMark val="none"/>
        <c:tickLblPos val="nextTo"/>
        <c:crossAx val="4319253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7.xml"/><Relationship Id="rId7" Type="http://schemas.openxmlformats.org/officeDocument/2006/relationships/image" Target="../media/image2.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image" Target="../media/image4.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304800</xdr:colOff>
      <xdr:row>6</xdr:row>
      <xdr:rowOff>22860</xdr:rowOff>
    </xdr:from>
    <xdr:to>
      <xdr:col>11</xdr:col>
      <xdr:colOff>0</xdr:colOff>
      <xdr:row>19</xdr:row>
      <xdr:rowOff>22860</xdr:rowOff>
    </xdr:to>
    <xdr:graphicFrame macro="">
      <xdr:nvGraphicFramePr>
        <xdr:cNvPr id="2" name="Chart 1">
          <a:extLst>
            <a:ext uri="{FF2B5EF4-FFF2-40B4-BE49-F238E27FC236}">
              <a16:creationId xmlns:a16="http://schemas.microsoft.com/office/drawing/2014/main" id="{178ED95D-CA83-59ED-541F-034F84BDD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289560</xdr:colOff>
      <xdr:row>3</xdr:row>
      <xdr:rowOff>34290</xdr:rowOff>
    </xdr:from>
    <xdr:to>
      <xdr:col>15</xdr:col>
      <xdr:colOff>518160</xdr:colOff>
      <xdr:row>19</xdr:row>
      <xdr:rowOff>152400</xdr:rowOff>
    </xdr:to>
    <xdr:graphicFrame macro="">
      <xdr:nvGraphicFramePr>
        <xdr:cNvPr id="2" name="Chart 1">
          <a:extLst>
            <a:ext uri="{FF2B5EF4-FFF2-40B4-BE49-F238E27FC236}">
              <a16:creationId xmlns:a16="http://schemas.microsoft.com/office/drawing/2014/main" id="{FEFB2E4C-D8A3-F1E9-0A06-4AC047405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228600</xdr:colOff>
      <xdr:row>3</xdr:row>
      <xdr:rowOff>110490</xdr:rowOff>
    </xdr:from>
    <xdr:to>
      <xdr:col>11</xdr:col>
      <xdr:colOff>533400</xdr:colOff>
      <xdr:row>18</xdr:row>
      <xdr:rowOff>110490</xdr:rowOff>
    </xdr:to>
    <xdr:graphicFrame macro="">
      <xdr:nvGraphicFramePr>
        <xdr:cNvPr id="3" name="Chart 2">
          <a:extLst>
            <a:ext uri="{FF2B5EF4-FFF2-40B4-BE49-F238E27FC236}">
              <a16:creationId xmlns:a16="http://schemas.microsoft.com/office/drawing/2014/main" id="{99385EA8-E825-4D0D-1AE6-C3F3BC86C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205740</xdr:colOff>
      <xdr:row>2</xdr:row>
      <xdr:rowOff>140970</xdr:rowOff>
    </xdr:from>
    <xdr:to>
      <xdr:col>10</xdr:col>
      <xdr:colOff>510540</xdr:colOff>
      <xdr:row>17</xdr:row>
      <xdr:rowOff>140970</xdr:rowOff>
    </xdr:to>
    <xdr:graphicFrame macro="">
      <xdr:nvGraphicFramePr>
        <xdr:cNvPr id="2" name="Chart 1">
          <a:extLst>
            <a:ext uri="{FF2B5EF4-FFF2-40B4-BE49-F238E27FC236}">
              <a16:creationId xmlns:a16="http://schemas.microsoft.com/office/drawing/2014/main" id="{FDE4EDC5-E13F-C781-8CC9-F1DE08043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251460</xdr:colOff>
      <xdr:row>3</xdr:row>
      <xdr:rowOff>114300</xdr:rowOff>
    </xdr:from>
    <xdr:to>
      <xdr:col>8</xdr:col>
      <xdr:colOff>251460</xdr:colOff>
      <xdr:row>10</xdr:row>
      <xdr:rowOff>137160</xdr:rowOff>
    </xdr:to>
    <xdr:graphicFrame macro="">
      <xdr:nvGraphicFramePr>
        <xdr:cNvPr id="2" name="Chart 1">
          <a:extLst>
            <a:ext uri="{FF2B5EF4-FFF2-40B4-BE49-F238E27FC236}">
              <a16:creationId xmlns:a16="http://schemas.microsoft.com/office/drawing/2014/main" id="{4BF41469-F64F-489E-9607-BC574D70E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251460</xdr:colOff>
      <xdr:row>10</xdr:row>
      <xdr:rowOff>167640</xdr:rowOff>
    </xdr:from>
    <xdr:to>
      <xdr:col>8</xdr:col>
      <xdr:colOff>236220</xdr:colOff>
      <xdr:row>17</xdr:row>
      <xdr:rowOff>106680</xdr:rowOff>
    </xdr:to>
    <xdr:graphicFrame macro="">
      <xdr:nvGraphicFramePr>
        <xdr:cNvPr id="3" name="Chart 2">
          <a:extLst>
            <a:ext uri="{FF2B5EF4-FFF2-40B4-BE49-F238E27FC236}">
              <a16:creationId xmlns:a16="http://schemas.microsoft.com/office/drawing/2014/main" id="{5EEB7E75-44A7-4BC6-8BBA-C7DE56731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358140</xdr:colOff>
      <xdr:row>9</xdr:row>
      <xdr:rowOff>114300</xdr:rowOff>
    </xdr:from>
    <xdr:to>
      <xdr:col>13</xdr:col>
      <xdr:colOff>495300</xdr:colOff>
      <xdr:row>16</xdr:row>
      <xdr:rowOff>83820</xdr:rowOff>
    </xdr:to>
    <xdr:graphicFrame macro="">
      <xdr:nvGraphicFramePr>
        <xdr:cNvPr id="4" name="Chart 3">
          <a:extLst>
            <a:ext uri="{FF2B5EF4-FFF2-40B4-BE49-F238E27FC236}">
              <a16:creationId xmlns:a16="http://schemas.microsoft.com/office/drawing/2014/main" id="{29864249-A90C-4CBA-8F23-7C88FB96B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403860</xdr:colOff>
      <xdr:row>17</xdr:row>
      <xdr:rowOff>106680</xdr:rowOff>
    </xdr:from>
    <xdr:to>
      <xdr:col>13</xdr:col>
      <xdr:colOff>487680</xdr:colOff>
      <xdr:row>25</xdr:row>
      <xdr:rowOff>30480</xdr:rowOff>
    </xdr:to>
    <xdr:graphicFrame macro="">
      <xdr:nvGraphicFramePr>
        <xdr:cNvPr id="6" name="Chart 5">
          <a:extLst>
            <a:ext uri="{FF2B5EF4-FFF2-40B4-BE49-F238E27FC236}">
              <a16:creationId xmlns:a16="http://schemas.microsoft.com/office/drawing/2014/main" id="{EA4E2E18-461E-43DB-847B-32BE396C3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17</xdr:row>
      <xdr:rowOff>144780</xdr:rowOff>
    </xdr:from>
    <xdr:to>
      <xdr:col>8</xdr:col>
      <xdr:colOff>236220</xdr:colOff>
      <xdr:row>25</xdr:row>
      <xdr:rowOff>38100</xdr:rowOff>
    </xdr:to>
    <xdr:graphicFrame macro="">
      <xdr:nvGraphicFramePr>
        <xdr:cNvPr id="7" name="Chart 6">
          <a:extLst>
            <a:ext uri="{FF2B5EF4-FFF2-40B4-BE49-F238E27FC236}">
              <a16:creationId xmlns:a16="http://schemas.microsoft.com/office/drawing/2014/main" id="{11830009-FE37-4626-9CFC-33A3F2DC9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167640</xdr:colOff>
      <xdr:row>12</xdr:row>
      <xdr:rowOff>7621</xdr:rowOff>
    </xdr:from>
    <xdr:to>
      <xdr:col>3</xdr:col>
      <xdr:colOff>83820</xdr:colOff>
      <xdr:row>19</xdr:row>
      <xdr:rowOff>99061</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E80392FA-A857-238C-997F-127B0B431A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7640" y="2202181"/>
              <a:ext cx="174498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3</xdr:row>
      <xdr:rowOff>106681</xdr:rowOff>
    </xdr:from>
    <xdr:to>
      <xdr:col>3</xdr:col>
      <xdr:colOff>76200</xdr:colOff>
      <xdr:row>12</xdr:row>
      <xdr:rowOff>7620</xdr:rowOff>
    </xdr:to>
    <mc:AlternateContent xmlns:mc="http://schemas.openxmlformats.org/markup-compatibility/2006" xmlns:a14="http://schemas.microsoft.com/office/drawing/2010/main">
      <mc:Choice Requires="a14">
        <xdr:graphicFrame macro="">
          <xdr:nvGraphicFramePr>
            <xdr:cNvPr id="9" name="Genre 1">
              <a:extLst>
                <a:ext uri="{FF2B5EF4-FFF2-40B4-BE49-F238E27FC236}">
                  <a16:creationId xmlns:a16="http://schemas.microsoft.com/office/drawing/2014/main" id="{3F1F9FF4-0A1F-E2DF-1B00-5F3CB7AC34C3}"/>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152400" y="655321"/>
              <a:ext cx="175260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19</xdr:row>
      <xdr:rowOff>106681</xdr:rowOff>
    </xdr:from>
    <xdr:to>
      <xdr:col>3</xdr:col>
      <xdr:colOff>99060</xdr:colOff>
      <xdr:row>26</xdr:row>
      <xdr:rowOff>38101</xdr:rowOff>
    </xdr:to>
    <mc:AlternateContent xmlns:mc="http://schemas.openxmlformats.org/markup-compatibility/2006">
      <mc:Choice xmlns:a14="http://schemas.microsoft.com/office/drawing/2010/main" Requires="a14">
        <xdr:graphicFrame macro="">
          <xdr:nvGraphicFramePr>
            <xdr:cNvPr id="10" name="Rating status">
              <a:extLst>
                <a:ext uri="{FF2B5EF4-FFF2-40B4-BE49-F238E27FC236}">
                  <a16:creationId xmlns:a16="http://schemas.microsoft.com/office/drawing/2014/main" id="{9C9F639C-F024-745A-620B-0C5C6BDA4B82}"/>
                </a:ext>
              </a:extLst>
            </xdr:cNvPr>
            <xdr:cNvGraphicFramePr/>
          </xdr:nvGraphicFramePr>
          <xdr:xfrm>
            <a:off x="0" y="0"/>
            <a:ext cx="0" cy="0"/>
          </xdr:xfrm>
          <a:graphic>
            <a:graphicData uri="http://schemas.microsoft.com/office/drawing/2010/slicer">
              <sle:slicer xmlns:sle="http://schemas.microsoft.com/office/drawing/2010/slicer" name="Rating status"/>
            </a:graphicData>
          </a:graphic>
        </xdr:graphicFrame>
      </mc:Choice>
      <mc:Fallback>
        <xdr:sp macro="" textlink="">
          <xdr:nvSpPr>
            <xdr:cNvPr id="0" name=""/>
            <xdr:cNvSpPr>
              <a:spLocks noTextEdit="1"/>
            </xdr:cNvSpPr>
          </xdr:nvSpPr>
          <xdr:spPr>
            <a:xfrm>
              <a:off x="167640" y="3581401"/>
              <a:ext cx="176022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350520</xdr:colOff>
      <xdr:row>4</xdr:row>
      <xdr:rowOff>22860</xdr:rowOff>
    </xdr:from>
    <xdr:to>
      <xdr:col>10</xdr:col>
      <xdr:colOff>144780</xdr:colOff>
      <xdr:row>8</xdr:row>
      <xdr:rowOff>175260</xdr:rowOff>
    </xdr:to>
    <xdr:sp macro="" textlink="">
      <xdr:nvSpPr>
        <xdr:cNvPr id="5" name="Rectangle: Rounded Corners 4">
          <a:extLst>
            <a:ext uri="{FF2B5EF4-FFF2-40B4-BE49-F238E27FC236}">
              <a16:creationId xmlns:a16="http://schemas.microsoft.com/office/drawing/2014/main" id="{87789FA2-9850-B09B-7B3E-C919EBA9261C}"/>
            </a:ext>
          </a:extLst>
        </xdr:cNvPr>
        <xdr:cNvSpPr/>
      </xdr:nvSpPr>
      <xdr:spPr>
        <a:xfrm>
          <a:off x="5227320" y="754380"/>
          <a:ext cx="1013460" cy="883920"/>
        </a:xfrm>
        <a:prstGeom prst="roundRect">
          <a:avLst/>
        </a:prstGeom>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aseline="0"/>
            <a:t>Total Movies</a:t>
          </a:r>
        </a:p>
      </xdr:txBody>
    </xdr:sp>
    <xdr:clientData/>
  </xdr:twoCellAnchor>
  <xdr:twoCellAnchor>
    <xdr:from>
      <xdr:col>8</xdr:col>
      <xdr:colOff>532638</xdr:colOff>
      <xdr:row>5</xdr:row>
      <xdr:rowOff>153891</xdr:rowOff>
    </xdr:from>
    <xdr:to>
      <xdr:col>10</xdr:col>
      <xdr:colOff>56876</xdr:colOff>
      <xdr:row>8</xdr:row>
      <xdr:rowOff>55742</xdr:rowOff>
    </xdr:to>
    <xdr:grpSp>
      <xdr:nvGrpSpPr>
        <xdr:cNvPr id="18" name="Group 17">
          <a:extLst>
            <a:ext uri="{FF2B5EF4-FFF2-40B4-BE49-F238E27FC236}">
              <a16:creationId xmlns:a16="http://schemas.microsoft.com/office/drawing/2014/main" id="{F41D18CE-0B2D-F6B5-7E1F-61AF65BD58AE}"/>
            </a:ext>
          </a:extLst>
        </xdr:cNvPr>
        <xdr:cNvGrpSpPr/>
      </xdr:nvGrpSpPr>
      <xdr:grpSpPr>
        <a:xfrm>
          <a:off x="5409438" y="1068291"/>
          <a:ext cx="743438" cy="450491"/>
          <a:chOff x="5737860" y="1028700"/>
          <a:chExt cx="782566" cy="373380"/>
        </a:xfrm>
      </xdr:grpSpPr>
      <xdr:sp macro="" textlink="Sheet2!D5">
        <xdr:nvSpPr>
          <xdr:cNvPr id="11" name="TextBox 10">
            <a:extLst>
              <a:ext uri="{FF2B5EF4-FFF2-40B4-BE49-F238E27FC236}">
                <a16:creationId xmlns:a16="http://schemas.microsoft.com/office/drawing/2014/main" id="{760B483F-8B32-4368-7BF3-796EAAD59FAE}"/>
              </a:ext>
            </a:extLst>
          </xdr:cNvPr>
          <xdr:cNvSpPr txBox="1"/>
        </xdr:nvSpPr>
        <xdr:spPr>
          <a:xfrm>
            <a:off x="6179820" y="1028700"/>
            <a:ext cx="340606" cy="280205"/>
          </a:xfrm>
          <a:prstGeom prst="rect">
            <a:avLst/>
          </a:prstGeom>
          <a:noFill/>
          <a:ln>
            <a:solidFill>
              <a:schemeClr val="tx2">
                <a:lumMod val="75000"/>
                <a:lumOff val="2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038CC2D-AAA7-4B85-BD31-43CBEFB3D0D8}" type="TxLink">
              <a:rPr lang="en-US" sz="1200" b="0" i="0" u="none" strike="noStrike">
                <a:solidFill>
                  <a:schemeClr val="bg2"/>
                </a:solidFill>
                <a:latin typeface="Aptos Narrow"/>
              </a:rPr>
              <a:pPr/>
              <a:t>15</a:t>
            </a:fld>
            <a:endParaRPr lang="en-IN" sz="1200">
              <a:solidFill>
                <a:schemeClr val="bg2"/>
              </a:solidFill>
            </a:endParaRPr>
          </a:p>
        </xdr:txBody>
      </xdr:sp>
      <xdr:pic>
        <xdr:nvPicPr>
          <xdr:cNvPr id="15" name="Graphic 14" descr="Clapper board with solid fill">
            <a:extLst>
              <a:ext uri="{FF2B5EF4-FFF2-40B4-BE49-F238E27FC236}">
                <a16:creationId xmlns:a16="http://schemas.microsoft.com/office/drawing/2014/main" id="{BB3055A1-56E9-78FF-8360-7B9C78E00E6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37860" y="1096478"/>
            <a:ext cx="305602" cy="305602"/>
          </a:xfrm>
          <a:prstGeom prst="rect">
            <a:avLst/>
          </a:prstGeom>
        </xdr:spPr>
      </xdr:pic>
    </xdr:grpSp>
    <xdr:clientData/>
  </xdr:twoCellAnchor>
  <xdr:twoCellAnchor>
    <xdr:from>
      <xdr:col>10</xdr:col>
      <xdr:colOff>213360</xdr:colOff>
      <xdr:row>4</xdr:row>
      <xdr:rowOff>15240</xdr:rowOff>
    </xdr:from>
    <xdr:to>
      <xdr:col>11</xdr:col>
      <xdr:colOff>571500</xdr:colOff>
      <xdr:row>8</xdr:row>
      <xdr:rowOff>160020</xdr:rowOff>
    </xdr:to>
    <xdr:grpSp>
      <xdr:nvGrpSpPr>
        <xdr:cNvPr id="25" name="Group 24">
          <a:extLst>
            <a:ext uri="{FF2B5EF4-FFF2-40B4-BE49-F238E27FC236}">
              <a16:creationId xmlns:a16="http://schemas.microsoft.com/office/drawing/2014/main" id="{909F4244-2E08-62E0-04C7-C47EA8331CB0}"/>
            </a:ext>
          </a:extLst>
        </xdr:cNvPr>
        <xdr:cNvGrpSpPr/>
      </xdr:nvGrpSpPr>
      <xdr:grpSpPr>
        <a:xfrm>
          <a:off x="6309360" y="746760"/>
          <a:ext cx="967740" cy="876300"/>
          <a:chOff x="6705600" y="1066800"/>
          <a:chExt cx="1074420" cy="701040"/>
        </a:xfrm>
      </xdr:grpSpPr>
      <xdr:sp macro="" textlink="">
        <xdr:nvSpPr>
          <xdr:cNvPr id="21" name="Rectangle: Rounded Corners 20">
            <a:extLst>
              <a:ext uri="{FF2B5EF4-FFF2-40B4-BE49-F238E27FC236}">
                <a16:creationId xmlns:a16="http://schemas.microsoft.com/office/drawing/2014/main" id="{C09D5DD9-AEAA-D4EA-8F0D-9A97C1498480}"/>
              </a:ext>
            </a:extLst>
          </xdr:cNvPr>
          <xdr:cNvSpPr/>
        </xdr:nvSpPr>
        <xdr:spPr>
          <a:xfrm>
            <a:off x="6705600" y="1066800"/>
            <a:ext cx="1074420" cy="701040"/>
          </a:xfrm>
          <a:prstGeom prst="roundRect">
            <a:avLst/>
          </a:prstGeom>
          <a:solidFill>
            <a:schemeClr val="accent1"/>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Average</a:t>
            </a:r>
            <a:r>
              <a:rPr lang="en-IN" sz="1200" baseline="0"/>
              <a:t> Rating</a:t>
            </a:r>
            <a:endParaRPr lang="en-IN" sz="1200"/>
          </a:p>
        </xdr:txBody>
      </xdr:sp>
      <xdr:sp macro="" textlink="Sheet4!C24">
        <xdr:nvSpPr>
          <xdr:cNvPr id="23" name="TextBox 22">
            <a:extLst>
              <a:ext uri="{FF2B5EF4-FFF2-40B4-BE49-F238E27FC236}">
                <a16:creationId xmlns:a16="http://schemas.microsoft.com/office/drawing/2014/main" id="{D01F020D-7012-1DD7-D5E4-3D0B47BD85FE}"/>
              </a:ext>
            </a:extLst>
          </xdr:cNvPr>
          <xdr:cNvSpPr txBox="1"/>
        </xdr:nvSpPr>
        <xdr:spPr>
          <a:xfrm>
            <a:off x="7200900" y="1493520"/>
            <a:ext cx="533400" cy="266700"/>
          </a:xfrm>
          <a:prstGeom prst="rect">
            <a:avLst/>
          </a:prstGeom>
          <a:solidFill>
            <a:schemeClr val="accent1"/>
          </a:solidFill>
          <a:ln w="9525" cmpd="sng">
            <a:solidFill>
              <a:schemeClr val="tx2">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BCCA00-1BFC-417B-BCC3-D08A315D20FC}" type="TxLink">
              <a:rPr lang="en-US" sz="1200" b="0" i="0" u="none" strike="noStrike">
                <a:solidFill>
                  <a:schemeClr val="bg2"/>
                </a:solidFill>
                <a:latin typeface="Aptos Narrow"/>
              </a:rPr>
              <a:pPr/>
              <a:t>6.713333333</a:t>
            </a:fld>
            <a:endParaRPr lang="en-IN" sz="1200">
              <a:solidFill>
                <a:schemeClr val="bg2"/>
              </a:solidFill>
            </a:endParaRPr>
          </a:p>
        </xdr:txBody>
      </xdr:sp>
      <xdr:sp macro="" textlink="">
        <xdr:nvSpPr>
          <xdr:cNvPr id="24" name="Star: 5 Points 23">
            <a:extLst>
              <a:ext uri="{FF2B5EF4-FFF2-40B4-BE49-F238E27FC236}">
                <a16:creationId xmlns:a16="http://schemas.microsoft.com/office/drawing/2014/main" id="{8E6BE10D-5F5A-C9A0-79D9-913B3F9B5C65}"/>
              </a:ext>
            </a:extLst>
          </xdr:cNvPr>
          <xdr:cNvSpPr/>
        </xdr:nvSpPr>
        <xdr:spPr>
          <a:xfrm flipH="1" flipV="1">
            <a:off x="7444740" y="1211580"/>
            <a:ext cx="198120" cy="198120"/>
          </a:xfrm>
          <a:prstGeom prst="star5">
            <a:avLst/>
          </a:prstGeom>
          <a:solidFill>
            <a:schemeClr val="bg2"/>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grpSp>
    <xdr:clientData/>
  </xdr:twoCellAnchor>
  <xdr:twoCellAnchor>
    <xdr:from>
      <xdr:col>12</xdr:col>
      <xdr:colOff>60960</xdr:colOff>
      <xdr:row>4</xdr:row>
      <xdr:rowOff>30480</xdr:rowOff>
    </xdr:from>
    <xdr:to>
      <xdr:col>13</xdr:col>
      <xdr:colOff>518160</xdr:colOff>
      <xdr:row>8</xdr:row>
      <xdr:rowOff>144780</xdr:rowOff>
    </xdr:to>
    <xdr:grpSp>
      <xdr:nvGrpSpPr>
        <xdr:cNvPr id="32" name="Group 31">
          <a:extLst>
            <a:ext uri="{FF2B5EF4-FFF2-40B4-BE49-F238E27FC236}">
              <a16:creationId xmlns:a16="http://schemas.microsoft.com/office/drawing/2014/main" id="{E294C584-3552-F033-DC5B-BA0A9EDC31F7}"/>
            </a:ext>
          </a:extLst>
        </xdr:cNvPr>
        <xdr:cNvGrpSpPr/>
      </xdr:nvGrpSpPr>
      <xdr:grpSpPr>
        <a:xfrm>
          <a:off x="7376160" y="762000"/>
          <a:ext cx="1066800" cy="845820"/>
          <a:chOff x="7467600" y="914400"/>
          <a:chExt cx="1089660" cy="708660"/>
        </a:xfrm>
      </xdr:grpSpPr>
      <xdr:sp macro="" textlink="">
        <xdr:nvSpPr>
          <xdr:cNvPr id="26" name="Rectangle: Rounded Corners 25">
            <a:extLst>
              <a:ext uri="{FF2B5EF4-FFF2-40B4-BE49-F238E27FC236}">
                <a16:creationId xmlns:a16="http://schemas.microsoft.com/office/drawing/2014/main" id="{CF3B8E37-AA2C-29D5-FC35-6632F9BD3D42}"/>
              </a:ext>
            </a:extLst>
          </xdr:cNvPr>
          <xdr:cNvSpPr/>
        </xdr:nvSpPr>
        <xdr:spPr>
          <a:xfrm>
            <a:off x="7467600" y="914400"/>
            <a:ext cx="1089660" cy="708660"/>
          </a:xfrm>
          <a:prstGeom prst="roundRect">
            <a:avLst/>
          </a:prstGeom>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Total Awards</a:t>
            </a:r>
          </a:p>
        </xdr:txBody>
      </xdr:sp>
      <xdr:sp macro="" textlink="Sheet6!C20">
        <xdr:nvSpPr>
          <xdr:cNvPr id="27" name="TextBox 26">
            <a:extLst>
              <a:ext uri="{FF2B5EF4-FFF2-40B4-BE49-F238E27FC236}">
                <a16:creationId xmlns:a16="http://schemas.microsoft.com/office/drawing/2014/main" id="{3410753A-6D22-ECE1-6941-3A5EEF0CC947}"/>
              </a:ext>
            </a:extLst>
          </xdr:cNvPr>
          <xdr:cNvSpPr txBox="1"/>
        </xdr:nvSpPr>
        <xdr:spPr>
          <a:xfrm>
            <a:off x="8046720" y="1234440"/>
            <a:ext cx="449580" cy="251460"/>
          </a:xfrm>
          <a:prstGeom prst="rect">
            <a:avLst/>
          </a:prstGeom>
          <a:solidFill>
            <a:schemeClr val="accent1"/>
          </a:solidFill>
          <a:ln w="9525" cmpd="sng">
            <a:solidFill>
              <a:schemeClr val="tx2">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5CC450-6B14-439D-8FE6-7132EC242CAC}" type="TxLink">
              <a:rPr lang="en-US" sz="1200" b="0" i="0" u="none" strike="noStrike">
                <a:solidFill>
                  <a:schemeClr val="tx2">
                    <a:lumMod val="10000"/>
                    <a:lumOff val="90000"/>
                  </a:schemeClr>
                </a:solidFill>
                <a:latin typeface="Aptos Narrow"/>
              </a:rPr>
              <a:pPr/>
              <a:t>12</a:t>
            </a:fld>
            <a:endParaRPr lang="en-IN" sz="1200">
              <a:solidFill>
                <a:schemeClr val="tx2">
                  <a:lumMod val="10000"/>
                  <a:lumOff val="90000"/>
                </a:schemeClr>
              </a:solidFill>
            </a:endParaRPr>
          </a:p>
        </xdr:txBody>
      </xdr:sp>
      <xdr:pic>
        <xdr:nvPicPr>
          <xdr:cNvPr id="29" name="Graphic 28" descr="Trophy with solid fill">
            <a:extLst>
              <a:ext uri="{FF2B5EF4-FFF2-40B4-BE49-F238E27FC236}">
                <a16:creationId xmlns:a16="http://schemas.microsoft.com/office/drawing/2014/main" id="{57AB2AAD-40D6-836E-D9C3-E9CB05B786D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20000" y="1181100"/>
            <a:ext cx="358140" cy="358140"/>
          </a:xfrm>
          <a:prstGeom prst="rect">
            <a:avLst/>
          </a:prstGeom>
        </xdr:spPr>
      </xdr:pic>
    </xdr:grpSp>
    <xdr:clientData/>
  </xdr:twoCellAnchor>
  <xdr:twoCellAnchor>
    <xdr:from>
      <xdr:col>0</xdr:col>
      <xdr:colOff>137160</xdr:colOff>
      <xdr:row>0</xdr:row>
      <xdr:rowOff>0</xdr:rowOff>
    </xdr:from>
    <xdr:to>
      <xdr:col>14</xdr:col>
      <xdr:colOff>121920</xdr:colOff>
      <xdr:row>3</xdr:row>
      <xdr:rowOff>38100</xdr:rowOff>
    </xdr:to>
    <xdr:sp macro="" textlink="">
      <xdr:nvSpPr>
        <xdr:cNvPr id="31" name="Rectangle: Rounded Corners 30">
          <a:extLst>
            <a:ext uri="{FF2B5EF4-FFF2-40B4-BE49-F238E27FC236}">
              <a16:creationId xmlns:a16="http://schemas.microsoft.com/office/drawing/2014/main" id="{58888090-6224-6B00-9185-2F94F4006874}"/>
            </a:ext>
          </a:extLst>
        </xdr:cNvPr>
        <xdr:cNvSpPr/>
      </xdr:nvSpPr>
      <xdr:spPr>
        <a:xfrm>
          <a:off x="137160" y="0"/>
          <a:ext cx="8519160" cy="586740"/>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Disney</a:t>
          </a:r>
          <a:r>
            <a:rPr lang="en-IN" sz="1800" baseline="0"/>
            <a:t> plus Movies Dashboard</a:t>
          </a:r>
          <a:endParaRPr lang="en-IN" sz="18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22</xdr:row>
      <xdr:rowOff>106680</xdr:rowOff>
    </xdr:from>
    <xdr:to>
      <xdr:col>2</xdr:col>
      <xdr:colOff>861060</xdr:colOff>
      <xdr:row>40</xdr:row>
      <xdr:rowOff>22860</xdr:rowOff>
    </xdr:to>
    <xdr:graphicFrame macro="">
      <xdr:nvGraphicFramePr>
        <xdr:cNvPr id="4" name="Chart 3">
          <a:extLst>
            <a:ext uri="{FF2B5EF4-FFF2-40B4-BE49-F238E27FC236}">
              <a16:creationId xmlns:a16="http://schemas.microsoft.com/office/drawing/2014/main" id="{737B92AE-A7A4-FF81-18F9-ABE8CEA4B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320040</xdr:colOff>
      <xdr:row>1</xdr:row>
      <xdr:rowOff>45720</xdr:rowOff>
    </xdr:from>
    <xdr:to>
      <xdr:col>5</xdr:col>
      <xdr:colOff>731520</xdr:colOff>
      <xdr:row>11</xdr:row>
      <xdr:rowOff>104775</xdr:rowOff>
    </xdr:to>
    <mc:AlternateContent xmlns:mc="http://schemas.openxmlformats.org/markup-compatibility/2006" xmlns:a14="http://schemas.microsoft.com/office/drawing/2010/main">
      <mc:Choice Requires="a14">
        <xdr:graphicFrame macro="">
          <xdr:nvGraphicFramePr>
            <xdr:cNvPr id="5" name="Genre">
              <a:extLst>
                <a:ext uri="{FF2B5EF4-FFF2-40B4-BE49-F238E27FC236}">
                  <a16:creationId xmlns:a16="http://schemas.microsoft.com/office/drawing/2014/main" id="{B3C02A6E-255C-A450-5E50-09AA8EFBBC20}"/>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7025640" y="274320"/>
              <a:ext cx="1783080" cy="1887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SHINA P" refreshedDate="46108.877137152776" createdVersion="8" refreshedVersion="8" minRefreshableVersion="3" recordCount="20" xr:uid="{6E47BC55-6149-4B49-AF56-51F083EF7B32}">
  <cacheSource type="worksheet">
    <worksheetSource name="disney_plus_shows11"/>
  </cacheSource>
  <cacheFields count="21">
    <cacheField name="imdb_id" numFmtId="0">
      <sharedItems/>
    </cacheField>
    <cacheField name="Title" numFmtId="0">
      <sharedItems count="19">
        <s v="10 Things I Hate About You"/>
        <s v="101 Dalmatian Street"/>
        <s v="101 Dalmatians"/>
        <s v="101 Dalmatians 2: Patch's London Adventure"/>
        <s v="102 Dalmatians"/>
        <s v="12 Dates of Christmas"/>
        <s v="20,000 Leagues Under the Sea"/>
        <s v="A Bug's Life"/>
        <s v="A Celebration of the Music from Coco"/>
        <s v="A Goofy Movie"/>
        <s v="A Kid in King Arthur's Court"/>
        <s v="A Knight for a Day"/>
        <s v="A Ring of Endless Light"/>
        <s v="A Tale of Two Critters"/>
        <s v="A Wrinkle in Time"/>
        <s v="Aladdin"/>
        <s v="Aladdin and the King of Thieves"/>
        <s v="Aladdin and the Return of Jafar"/>
        <s v="Alice in Wonderland"/>
      </sharedItems>
    </cacheField>
    <cacheField name="Plot" numFmtId="0">
      <sharedItems/>
    </cacheField>
    <cacheField name="Type" numFmtId="0">
      <sharedItems/>
    </cacheField>
    <cacheField name="Rated" numFmtId="0">
      <sharedItems/>
    </cacheField>
    <cacheField name="Year" numFmtId="0">
      <sharedItems containsSemiMixedTypes="0" containsString="0" containsNumber="1" containsInteger="1" minValue="1946" maxValue="2020" count="16">
        <n v="1999"/>
        <n v="2018"/>
        <n v="1996"/>
        <n v="2002"/>
        <n v="2000"/>
        <n v="2011"/>
        <n v="1954"/>
        <n v="1998"/>
        <n v="2020"/>
        <n v="1995"/>
        <n v="1946"/>
        <n v="1977"/>
        <n v="2019"/>
        <n v="1992"/>
        <n v="1994"/>
        <n v="1951"/>
      </sharedItems>
    </cacheField>
    <cacheField name="Released_at" numFmtId="14">
      <sharedItems containsSemiMixedTypes="0" containsNonDate="0" containsDate="1" containsString="0" minDate="1951-09-14T00:00:00" maxDate="2046-03-09T00:00:00"/>
    </cacheField>
    <cacheField name="Added_at" numFmtId="14">
      <sharedItems containsSemiMixedTypes="0" containsNonDate="0" containsDate="1" containsString="0" minDate="2019-11-12T00:00:00" maxDate="2020-04-11T00:00:00"/>
    </cacheField>
    <cacheField name="Runtime" numFmtId="0">
      <sharedItems containsSemiMixedTypes="0" containsString="0" containsNumber="1" containsInteger="1" minValue="0" maxValue="128"/>
    </cacheField>
    <cacheField name="Genre" numFmtId="0">
      <sharedItems count="18">
        <s v="Comedy, Drama, Romance"/>
        <s v="Animation, Comedy, Family"/>
        <s v="Adventure, Comedy, Crime, Family"/>
        <s v="Animation, Adventure, Comedy, Family, Musical"/>
        <s v="Adventure, Comedy, Family"/>
        <s v="Comedy, Fantasy, Romance"/>
        <s v="Adventure, Drama, Family, Fantasy, Sci-Fi"/>
        <s v="Animation, Adventure, Comedy, Family"/>
        <s v="Music"/>
        <s v="Animation, Adventure, Comedy, Family, Musical, Romance"/>
        <s v="Adventure, Comedy, Family, Fantasy, Romance"/>
        <s v="Animation, Short, Comedy"/>
        <s v="Drama, Family, Romance"/>
        <s v="Adventure, Family"/>
        <s v="Adventure, Family, Fantasy, Sci-Fi"/>
        <s v="Adventure, Family, Fantasy, Musical, Romance"/>
        <s v="Animation, Adventure, Comedy, Family, Fantasy, Musical, Romance"/>
        <s v="Animation, Adventure, Family, Fantasy, Musical"/>
      </sharedItems>
    </cacheField>
    <cacheField name="Director" numFmtId="0">
      <sharedItems/>
    </cacheField>
    <cacheField name="Writer" numFmtId="0">
      <sharedItems longText="1"/>
    </cacheField>
    <cacheField name="Actors" numFmtId="0">
      <sharedItems/>
    </cacheField>
    <cacheField name="Language" numFmtId="0">
      <sharedItems/>
    </cacheField>
    <cacheField name="Country" numFmtId="0">
      <sharedItems/>
    </cacheField>
    <cacheField name="Awards" numFmtId="0">
      <sharedItems count="14">
        <s v="2 wins &amp; 13 nominations."/>
        <s v="No Awards Recorded"/>
        <s v="Nominated for 1 Golden Globe. Another 3 wins &amp; 9 nominations."/>
        <s v="5 wins &amp; 10 nominations."/>
        <s v="Nominated for 1 Oscar. Another 1 win &amp; 7 nominations."/>
        <s v="1 nomination."/>
        <s v="Won 2 Oscars. Another 3 wins &amp; 3 nominations."/>
        <s v="Nominated for 1 Oscar. Another 14 wins &amp; 20 nominations."/>
        <s v="5 nominations."/>
        <s v="2 wins &amp; 1 nomination."/>
        <s v="5 wins &amp; 15 nominations."/>
        <s v="7 wins &amp; 32 nominations."/>
        <s v="Won 2 Oscars. Another 31 wins &amp; 22 nominations."/>
        <s v="Nominated for 1 Oscar. Another 1 nomination."/>
      </sharedItems>
      <fieldGroup par="20"/>
    </cacheField>
    <cacheField name="Metascore" numFmtId="0">
      <sharedItems containsSemiMixedTypes="0" containsString="0" containsNumber="1" containsInteger="1" minValue="0" maxValue="86"/>
    </cacheField>
    <cacheField name="imdb_rating" numFmtId="0">
      <sharedItems containsSemiMixedTypes="0" containsString="0" containsNumber="1" minValue="4.2" maxValue="8"/>
    </cacheField>
    <cacheField name="imdb_votes" numFmtId="0">
      <sharedItems containsSemiMixedTypes="0" containsString="0" containsNumber="1" containsInteger="1" minValue="35" maxValue="356283"/>
    </cacheField>
    <cacheField name="Rating status" numFmtId="0">
      <sharedItems count="3">
        <s v="Good"/>
        <s v="Average"/>
        <s v="Excellent"/>
      </sharedItems>
    </cacheField>
    <cacheField name="Awards2" numFmtId="0" databaseField="0">
      <fieldGroup base="15">
        <discretePr count="14">
          <x v="1"/>
          <x v="0"/>
          <x v="1"/>
          <x v="1"/>
          <x v="1"/>
          <x v="1"/>
          <x v="1"/>
          <x v="1"/>
          <x v="1"/>
          <x v="1"/>
          <x v="1"/>
          <x v="1"/>
          <x v="1"/>
          <x v="1"/>
        </discretePr>
        <groupItems count="2">
          <s v="No Awards Recorded"/>
          <s v="Group1"/>
        </groupItems>
      </fieldGroup>
    </cacheField>
  </cacheFields>
  <extLst>
    <ext xmlns:x14="http://schemas.microsoft.com/office/spreadsheetml/2009/9/main" uri="{725AE2AE-9491-48be-B2B4-4EB974FC3084}">
      <x14:pivotCacheDefinition pivotCacheId="1955952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tt0147800"/>
    <x v="0"/>
    <s v="A pretty, popular teenager can't go out on a date until her ill-tempered older sister does."/>
    <s v="movie"/>
    <s v="PG-13"/>
    <x v="0"/>
    <d v="1999-03-31T00:00:00"/>
    <d v="2019-11-12T00:00:00"/>
    <n v="97"/>
    <x v="0"/>
    <s v="Gil Junger"/>
    <s v="Karen Mccullah, Kirsten Smith"/>
    <s v="Heath Ledger, Julia Stiles, Joseph Gordon-Levitt, Larisa Oleynik"/>
    <s v="English, French"/>
    <s v="USA"/>
    <x v="0"/>
    <n v="70"/>
    <n v="7.3"/>
    <n v="283945"/>
    <x v="0"/>
  </r>
  <r>
    <s v="tt7019028"/>
    <x v="1"/>
    <s v="This series follows the lives of Delilah and Doug, descendants of Pongo and Perdita, and their 99 dalmatian pups at 101 Dalmatian Street, Camden Town."/>
    <s v="series"/>
    <s v="Not Rated"/>
    <x v="1"/>
    <d v="2019-03-25T00:00:00"/>
    <d v="2020-02-28T00:00:00"/>
    <n v="0"/>
    <x v="1"/>
    <s v="Miklos Weigert"/>
    <s v="Unknown"/>
    <s v="Josh Brener, Michaela Dietz, Bert Davis, Abigail Zoe Lewis"/>
    <s v="English"/>
    <s v="UK, USA, Canada"/>
    <x v="1"/>
    <n v="0"/>
    <n v="6.2"/>
    <n v="124"/>
    <x v="0"/>
  </r>
  <r>
    <s v="tt0115433"/>
    <x v="2"/>
    <s v="An evil high-fashion designer plots to steal Dalmatian puppies in order to make an extravagant fur coat, but instead creates an extravagant mess."/>
    <s v="movie"/>
    <s v="G"/>
    <x v="2"/>
    <d v="1996-11-27T00:00:00"/>
    <d v="2019-11-12T00:00:00"/>
    <n v="103"/>
    <x v="2"/>
    <s v="Stephen Herek"/>
    <s v="Dodie Smith (Novel), John Hughes (Screenplay)"/>
    <s v="Glenn Close, Jeff Daniels, Joely Richardson, Joan Plowright"/>
    <s v="English, Spanish"/>
    <s v="USA, UK"/>
    <x v="2"/>
    <n v="49"/>
    <n v="5.7"/>
    <n v="97785"/>
    <x v="0"/>
  </r>
  <r>
    <s v="tt0324941"/>
    <x v="3"/>
    <s v="Being one of 101 takes its toll on Patch, who doesn't feel unique. When he's accidentally left behind on moving day, he meets his idol, Thunderbolt, who enlists him on a publicity campaign."/>
    <s v="movie"/>
    <s v="G"/>
    <x v="3"/>
    <d v="2003-01-21T00:00:00"/>
    <d v="2019-11-12T00:00:00"/>
    <n v="74"/>
    <x v="3"/>
    <s v="Jim Kammerud, Brian Smith"/>
    <s v="Jim Kammerud (Story), Dan Root (Story), Garrett K. Schiff (Story), Brian Smith (Story), Jim Kammerud (Screenplay), Brian Smith (Screenplay), Dodie Smith (Novel), Michael Lucker, Temple Mathews (Additional Script Material)"/>
    <s v="Barry Bostwick, Jason Alexander, Martin Short, Bobby Lockwood"/>
    <s v="English"/>
    <s v="USA"/>
    <x v="3"/>
    <n v="0"/>
    <n v="5.8"/>
    <n v="7434"/>
    <x v="0"/>
  </r>
  <r>
    <s v="tt0211181"/>
    <x v="4"/>
    <s v="Cruella DeVil gets out of prison and goes after the puppies once more."/>
    <s v="movie"/>
    <s v="G"/>
    <x v="4"/>
    <d v="2000-11-22T00:00:00"/>
    <d v="2019-11-12T00:00:00"/>
    <n v="100"/>
    <x v="4"/>
    <s v="Kevin Lima"/>
    <s v="Dodie Smith (Novel), Kristen Buckley (Story), Brian Regan (Story), Kristen Buckley (Screenplay), Brian Regan (Screenplay), Bob Tzudiker (Screenplay), Noni White (Screenplay)"/>
    <s v="Glenn Close, Gérard Depardieu, Ioan Gruffudd, Alice Evans"/>
    <s v="English"/>
    <s v="USA, UK"/>
    <x v="4"/>
    <n v="35"/>
    <n v="4.9000000000000004"/>
    <n v="33444"/>
    <x v="1"/>
  </r>
  <r>
    <s v="tt1846442"/>
    <x v="5"/>
    <s v="A story that follows Kate, a young woman who after a horrible blind date on Christmas Eve, wakes up to find she is re-living that same day and date all over again."/>
    <s v="series"/>
    <s v="PG"/>
    <x v="5"/>
    <d v="2011-12-11T00:00:00"/>
    <d v="2019-11-12T00:00:00"/>
    <n v="90"/>
    <x v="5"/>
    <s v="James Hayman"/>
    <s v="Aaron Mendelsohn (Teleplay), Janet Brownell (Teleplay), Aaron Mendelsohn (Story), Blake Harris (Story)"/>
    <s v="Laura Miyata, Vijay Mehta, Amy Smart, Audrey Dwyer"/>
    <s v="English"/>
    <s v="USA"/>
    <x v="5"/>
    <n v="0"/>
    <n v="6.3"/>
    <n v="4933"/>
    <x v="0"/>
  </r>
  <r>
    <s v="tt0046672"/>
    <x v="6"/>
    <s v="A ship sent to investigate a wave of mysterious sinkings encounters the advanced submarine, the Nautilus, commanded by Captain Nemo."/>
    <s v="movie"/>
    <s v="G"/>
    <x v="6"/>
    <d v="1955-07-20T00:00:00"/>
    <d v="2019-11-12T00:00:00"/>
    <n v="127"/>
    <x v="6"/>
    <s v="Richard Fleischer"/>
    <s v="Earl Felton (Screenplay)"/>
    <s v="Kirk Douglas, James Mason, Paul Lukas, Peter Lorre"/>
    <s v="English"/>
    <s v="USA"/>
    <x v="6"/>
    <n v="83"/>
    <n v="7.2"/>
    <n v="27761"/>
    <x v="0"/>
  </r>
  <r>
    <s v="tt0120623"/>
    <x v="7"/>
    <s v="A misfit ant, looking for &quot;warriors&quot; to save his colony from greedy grasshoppers, recruits a group of bugs that turn out to be an inept circus troupe."/>
    <s v="movie"/>
    <s v="G"/>
    <x v="7"/>
    <d v="1998-11-25T00:00:00"/>
    <d v="2019-11-12T00:00:00"/>
    <n v="95"/>
    <x v="7"/>
    <s v="John Lasseter, Andrew Stanton(co-director)"/>
    <s v="John Lasseter (Original Story By), Andrew Stanton (Original Story By), Joe Ranft (Original Story By), Andrew Stanton (Screenplay By), Don Mcenery (Screenplay By), Bob Shaw (Screenplay By)"/>
    <s v="Dave Foley, Kevin Spacey, Julia Louis-Dreyfus, Hayden Panettiere"/>
    <s v="English"/>
    <s v="USA"/>
    <x v="7"/>
    <n v="77"/>
    <n v="7.2"/>
    <n v="257065"/>
    <x v="0"/>
  </r>
  <r>
    <s v="tt12076020"/>
    <x v="8"/>
    <s v="Unknown"/>
    <s v="series"/>
    <s v="Not Rated"/>
    <x v="8"/>
    <d v="2020-04-10T00:00:00"/>
    <d v="2020-04-10T00:00:00"/>
    <n v="0"/>
    <x v="8"/>
    <s v="Ron de Moraes"/>
    <s v="Unknown"/>
    <s v="Benjamin Bratt, Eva Longoria"/>
    <s v="English"/>
    <s v="USA"/>
    <x v="1"/>
    <n v="0"/>
    <n v="7.6"/>
    <n v="35"/>
    <x v="0"/>
  </r>
  <r>
    <s v="tt0113198"/>
    <x v="9"/>
    <s v="When Max makes a preposterous promise to a girl he has a crush on, his chances to fulfilling it seem hopeless when he is dragged onto a cross-country trip with his embarrassing father, Goofy."/>
    <s v="movie"/>
    <s v="G"/>
    <x v="9"/>
    <d v="1995-04-07T00:00:00"/>
    <d v="2019-11-12T00:00:00"/>
    <n v="78"/>
    <x v="9"/>
    <s v="Kevin Lima"/>
    <s v="Jymn Magon (Story), Jymn Magon (Screenplay), Chris Matheson (Screenplay), Brian Pimental (Screenplay), Brian Pimental (Story Supervisor), Curtis Armstrong (Additional Written Material), John Doolittle (Additional Written Material)"/>
    <s v="Bill Farmer, Jason Marsden, Jim Cummings, Kellie Martin"/>
    <s v="English"/>
    <s v="USA, Australia, France, Canada"/>
    <x v="8"/>
    <n v="0"/>
    <n v="6.8"/>
    <n v="43655"/>
    <x v="0"/>
  </r>
  <r>
    <s v="tt0113538"/>
    <x v="10"/>
    <s v="A Little League player is sent back into medieval times where he is given the task of saving Camelot."/>
    <s v="movie"/>
    <s v="PG"/>
    <x v="9"/>
    <d v="1995-08-11T00:00:00"/>
    <d v="2019-11-12T00:00:00"/>
    <n v="89"/>
    <x v="10"/>
    <s v="Michael Gottlieb"/>
    <s v="Michael Part, Robert L. Levy"/>
    <s v="Thomas Ian Nicholas, Joss Ackland, Art Malik, Paloma Baeza"/>
    <s v="English"/>
    <s v="USA, Hungary, UK"/>
    <x v="5"/>
    <n v="34"/>
    <n v="4.7"/>
    <n v="5479"/>
    <x v="1"/>
  </r>
  <r>
    <s v="tt0038674"/>
    <x v="11"/>
    <s v="By accident, Cedric (Goofy), replaces his master, Sir Loinsteak, in the armor just before the joust with champion Sir Cumference."/>
    <s v="series"/>
    <s v="APPROVED"/>
    <x v="10"/>
    <d v="2046-03-08T00:00:00"/>
    <d v="2019-11-12T00:00:00"/>
    <n v="7"/>
    <x v="11"/>
    <s v="Jack Hannah"/>
    <s v="Bill Peet (Story)"/>
    <s v="Pinto Colvig"/>
    <s v="English"/>
    <s v="USA"/>
    <x v="1"/>
    <n v="0"/>
    <n v="7"/>
    <n v="488"/>
    <x v="0"/>
  </r>
  <r>
    <s v="tt0282123"/>
    <x v="12"/>
    <s v="Based on the Novel by Madeline L'Engle. During the summer her grandfather is dying of leukemia and death seems all around, 15-year-old Vicky finds comfort with the pod of dolphins with ..."/>
    <s v="movie"/>
    <s v="TV-G"/>
    <x v="3"/>
    <d v="2002-08-23T00:00:00"/>
    <d v="2019-11-12T00:00:00"/>
    <n v="88"/>
    <x v="12"/>
    <s v="Greg Beeman"/>
    <s v="Madeleine L'Engle (Novel), Marita Giovanni (Teleplay), Bruce Graham (Teleplay)"/>
    <s v="Mischa Barton, Ryan Merriman, Jared Padalecki, Scarlett Pomers"/>
    <s v="English"/>
    <s v="USA"/>
    <x v="9"/>
    <n v="0"/>
    <n v="6.1"/>
    <n v="1042"/>
    <x v="0"/>
  </r>
  <r>
    <s v="tt0287003"/>
    <x v="13"/>
    <s v="A bear cub and a raccoon become fast friends when they're swept away down a river, away from their families."/>
    <s v="movie"/>
    <s v="G"/>
    <x v="11"/>
    <d v="1977-06-22T00:00:00"/>
    <d v="2020-04-03T00:00:00"/>
    <n v="48"/>
    <x v="13"/>
    <s v="Jack Speirs"/>
    <s v="Jack Speirs"/>
    <s v="Mayf Nutter"/>
    <s v="English"/>
    <s v="USA"/>
    <x v="1"/>
    <n v="0"/>
    <n v="7.1"/>
    <n v="59"/>
    <x v="0"/>
  </r>
  <r>
    <s v="tt1620680"/>
    <x v="14"/>
    <s v="After the disappearance of her scientist father, three peculiar beings send Meg, her brother, and her friend to space in order to find him."/>
    <s v="series"/>
    <s v="PG"/>
    <x v="1"/>
    <d v="2018-03-09T00:00:00"/>
    <d v="2020-03-25T00:00:00"/>
    <n v="109"/>
    <x v="14"/>
    <s v="Ava DuVernay"/>
    <s v="Jennifer Lee (Screenplay By), Jeff Stockwell (Screenplay By), Madeleine L'Engle (Based Upon The Novel By)"/>
    <s v="Storm Reid, Oprah Winfrey, Reese Witherspoon, Mindy Kaling"/>
    <s v="English"/>
    <s v="USA"/>
    <x v="10"/>
    <n v="53"/>
    <n v="4.2"/>
    <n v="38659"/>
    <x v="1"/>
  </r>
  <r>
    <s v="tt6139732"/>
    <x v="15"/>
    <s v="A kind-hearted street urchin and a power-hungry Grand Vizier vie for a magic lamp that has the power to make their deepest wishes come true."/>
    <s v="movie"/>
    <s v="PG"/>
    <x v="12"/>
    <d v="2019-05-24T00:00:00"/>
    <d v="2020-01-08T00:00:00"/>
    <n v="128"/>
    <x v="15"/>
    <s v="Guy Ritchie"/>
    <s v="John August (Screenplay By), Guy Ritchie (Screenplay By)"/>
    <s v="Will Smith, Mena Massoud, Naomi Scott, Marwan Kenzari"/>
    <s v="English, Arabic"/>
    <s v="USA"/>
    <x v="11"/>
    <n v="53"/>
    <n v="7"/>
    <n v="204537"/>
    <x v="0"/>
  </r>
  <r>
    <s v="tt0103639"/>
    <x v="15"/>
    <s v="A kindhearted street urchin and a power-hungry Grand Vizier vie for a magic lamp that has the power to make their deepest wishes come true."/>
    <s v="movie"/>
    <s v="G"/>
    <x v="13"/>
    <d v="1992-11-25T00:00:00"/>
    <d v="2019-11-12T00:00:00"/>
    <n v="90"/>
    <x v="16"/>
    <s v="Ron Clements, John Musker"/>
    <s v="Ron Clements (Screenplay By), John Musker (Screenplay By), Ted Elliott (Screenplay By), Terry Rossio (Screenplay By), Burny Mattinson (Story), Roger Allers (Story), Daan Jippes (Story), Kevin Harkey (Story), Sue C. Nichols (Story), Francis Glebas (Story), Darrell Rooney (Story), Larry Leker (Story), James Fujii (Story), Kirk Hanson (Story), Kevin Lima (Story), Rebecca Rees (Story), David S. Smith (Story), Chris Sanders (Story), Brian Pimental (Story), Patrick A. Ventura (Story)"/>
    <s v="Scott Weinger, Robin Williams, Linda Larkin, Jonathan Freeman"/>
    <s v="English"/>
    <s v="USA"/>
    <x v="12"/>
    <n v="86"/>
    <n v="8"/>
    <n v="356283"/>
    <x v="2"/>
  </r>
  <r>
    <s v="tt0115491"/>
    <x v="16"/>
    <s v="The King of Thieves disrupts Aladdin and Jasmine's long-anticipated wedding, looking for an oracle that will lead him to an even bigger treasure. His true identity causes trouble for Aladdin."/>
    <s v="series"/>
    <s v="Not Rated"/>
    <x v="2"/>
    <d v="1996-08-13T00:00:00"/>
    <d v="2019-11-12T00:00:00"/>
    <n v="81"/>
    <x v="16"/>
    <s v="Tad Stones"/>
    <s v="Mark Mccorkle (Screenplay By), Robert Schooley (Screenplay)"/>
    <s v="Val Bettin, Jim Cummings, Gilbert Gottfried, Linda Larkin"/>
    <s v="English"/>
    <s v="USA"/>
    <x v="9"/>
    <n v="0"/>
    <n v="6.4"/>
    <n v="31603"/>
    <x v="0"/>
  </r>
  <r>
    <s v="tt0107952"/>
    <x v="17"/>
    <s v="Jafar comes for revenge on Aladdin, using a foolish thief and Iago's treachery to find a way back into power."/>
    <s v="movie"/>
    <s v="G"/>
    <x v="14"/>
    <d v="1994-05-20T00:00:00"/>
    <d v="2019-11-12T00:00:00"/>
    <n v="69"/>
    <x v="16"/>
    <s v="Toby Shelton, Tad Stones, Alan Zaslove"/>
    <s v="Duane Capizzi (Story), Doug Langdale (Story), Mark Mccorkle (Story), Robert Schooley (Story), Tad Stones (Story), Kevin Campbell, Mirith J. Colao, Bill Motz, Steve Roberts, Dev Ross, Bob Roth, Jan Strnad, Brian Swenlin"/>
    <s v="Jason Alexander, Jonathan Freeman, Jeff Bennett, Gilbert Gottfried"/>
    <s v="English"/>
    <s v="USA"/>
    <x v="5"/>
    <n v="0"/>
    <n v="5.9"/>
    <n v="25623"/>
    <x v="0"/>
  </r>
  <r>
    <s v="tt0043274"/>
    <x v="18"/>
    <s v="Alice stumbles into the world of Wonderland. Will she get home? Not if the Queen of Hearts has her way."/>
    <s v="series"/>
    <s v="G"/>
    <x v="15"/>
    <d v="1951-09-14T00:00:00"/>
    <d v="2019-11-12T00:00:00"/>
    <n v="75"/>
    <x v="17"/>
    <s v="Clyde Geronimi, Wilfred Jackson, Hamilton Luske"/>
    <s v="Lewis Carroll (Adaptation), Winston Hibler (Story), Ted Sears (Story), Bill Peet (Story), Erdman Penner (Story), Joe Rinaldi (Story), Milt Banta (Story), William Cottrell (Story), Dick Kelsey (Story), Joe Grant (Story), Dick Huemer (Story), Del Connell (Story), Tom Oreb (Story), John Walbridge (Story)"/>
    <s v="Kathryn Beaumont, Ed Wynn, Richard Haydn, Sterling Holloway"/>
    <s v="English"/>
    <s v="USA"/>
    <x v="13"/>
    <n v="68"/>
    <n v="7.4"/>
    <n v="12337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09F987-37D7-493C-8803-D611903E1B5C}"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4:C5" firstHeaderRow="1" firstDataRow="1" firstDataCol="0"/>
  <pivotFields count="21">
    <pivotField showAll="0"/>
    <pivotField dataField="1"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items count="17">
        <item x="10"/>
        <item x="15"/>
        <item x="6"/>
        <item x="11"/>
        <item x="13"/>
        <item x="14"/>
        <item x="9"/>
        <item x="2"/>
        <item x="7"/>
        <item x="0"/>
        <item x="4"/>
        <item x="3"/>
        <item x="5"/>
        <item x="1"/>
        <item x="12"/>
        <item x="8"/>
        <item t="default"/>
      </items>
    </pivotField>
    <pivotField numFmtId="14" showAll="0"/>
    <pivotField numFmtId="14" showAll="0"/>
    <pivotField showAll="0"/>
    <pivotField showAll="0">
      <items count="19">
        <item x="2"/>
        <item h="1" x="4"/>
        <item x="10"/>
        <item h="1" x="6"/>
        <item h="1" x="13"/>
        <item x="15"/>
        <item x="14"/>
        <item x="7"/>
        <item x="16"/>
        <item x="3"/>
        <item x="9"/>
        <item x="17"/>
        <item x="1"/>
        <item x="11"/>
        <item x="0"/>
        <item x="5"/>
        <item x="12"/>
        <item x="8"/>
        <item t="default"/>
      </items>
    </pivotField>
    <pivotField showAll="0"/>
    <pivotField showAll="0"/>
    <pivotField showAll="0"/>
    <pivotField showAll="0"/>
    <pivotField showAll="0"/>
    <pivotField showAll="0">
      <items count="15">
        <item x="5"/>
        <item x="9"/>
        <item x="0"/>
        <item x="8"/>
        <item x="3"/>
        <item x="10"/>
        <item x="11"/>
        <item x="1"/>
        <item x="2"/>
        <item x="13"/>
        <item x="4"/>
        <item x="7"/>
        <item x="6"/>
        <item x="12"/>
        <item t="default"/>
      </items>
    </pivotField>
    <pivotField showAll="0"/>
    <pivotField showAll="0"/>
    <pivotField showAll="0"/>
    <pivotField showAll="0">
      <items count="4">
        <item h="1" x="1"/>
        <item x="2"/>
        <item x="0"/>
        <item t="default"/>
      </items>
    </pivotField>
    <pivotField showAll="0" defaultSubtotal="0">
      <items count="2">
        <item x="0"/>
        <item x="1"/>
      </items>
    </pivotField>
  </pivotFields>
  <rowItems count="1">
    <i/>
  </rowItems>
  <colItems count="1">
    <i/>
  </colItems>
  <dataFields count="1">
    <dataField name="Count of Movies" fld="1" subtotal="count" baseField="0" baseItem="0"/>
  </dataFields>
  <formats count="11">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66">
      <pivotArea dataOnly="0" labelOnly="1" outline="0" axis="axisValues" fieldPosition="0"/>
    </format>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D3F48C-F8C5-459A-91E7-45FEA0CECB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7:C18" firstHeaderRow="1" firstDataRow="1" firstDataCol="1"/>
  <pivotFields count="21">
    <pivotField showAll="0"/>
    <pivotField axis="axisRow" showAll="0" measureFilter="1">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items count="17">
        <item x="10"/>
        <item x="15"/>
        <item x="6"/>
        <item x="11"/>
        <item x="13"/>
        <item x="14"/>
        <item x="9"/>
        <item x="2"/>
        <item x="7"/>
        <item x="0"/>
        <item x="4"/>
        <item x="3"/>
        <item x="5"/>
        <item x="1"/>
        <item x="12"/>
        <item x="8"/>
        <item t="default"/>
      </items>
    </pivotField>
    <pivotField numFmtId="14" showAll="0"/>
    <pivotField numFmtId="14" showAll="0"/>
    <pivotField showAll="0"/>
    <pivotField showAll="0">
      <items count="19">
        <item x="2"/>
        <item h="1" x="4"/>
        <item x="10"/>
        <item h="1" x="6"/>
        <item h="1" x="13"/>
        <item x="15"/>
        <item x="14"/>
        <item x="7"/>
        <item x="16"/>
        <item x="3"/>
        <item x="9"/>
        <item x="17"/>
        <item x="1"/>
        <item x="11"/>
        <item x="0"/>
        <item x="5"/>
        <item x="12"/>
        <item x="8"/>
        <item t="default"/>
      </items>
    </pivotField>
    <pivotField showAll="0"/>
    <pivotField showAll="0"/>
    <pivotField showAll="0"/>
    <pivotField showAll="0"/>
    <pivotField showAll="0"/>
    <pivotField showAll="0">
      <items count="15">
        <item x="5"/>
        <item x="9"/>
        <item x="0"/>
        <item x="8"/>
        <item x="3"/>
        <item x="10"/>
        <item x="11"/>
        <item x="1"/>
        <item x="2"/>
        <item x="13"/>
        <item x="4"/>
        <item x="7"/>
        <item x="6"/>
        <item x="12"/>
        <item t="default"/>
      </items>
    </pivotField>
    <pivotField showAll="0"/>
    <pivotField dataField="1" showAll="0"/>
    <pivotField showAll="0"/>
    <pivotField showAll="0">
      <items count="4">
        <item h="1" x="1"/>
        <item x="2"/>
        <item x="0"/>
        <item t="default"/>
      </items>
    </pivotField>
    <pivotField showAll="0">
      <items count="3">
        <item x="1"/>
        <item x="0"/>
        <item t="default"/>
      </items>
    </pivotField>
  </pivotFields>
  <rowFields count="1">
    <field x="1"/>
  </rowFields>
  <rowItems count="11">
    <i>
      <x/>
    </i>
    <i>
      <x v="1"/>
    </i>
    <i>
      <x v="5"/>
    </i>
    <i>
      <x v="7"/>
    </i>
    <i>
      <x v="8"/>
    </i>
    <i>
      <x v="9"/>
    </i>
    <i>
      <x v="11"/>
    </i>
    <i>
      <x v="15"/>
    </i>
    <i>
      <x v="16"/>
    </i>
    <i>
      <x v="18"/>
    </i>
    <i t="grand">
      <x/>
    </i>
  </rowItems>
  <colItems count="1">
    <i/>
  </colItems>
  <dataFields count="1">
    <dataField name="Average of imdb_rating" fld="17" subtotal="average" baseField="1" baseItem="0"/>
  </dataFields>
  <formats count="18">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10">
            <x v="0"/>
            <x v="6"/>
            <x v="7"/>
            <x v="8"/>
            <x v="9"/>
            <x v="11"/>
            <x v="13"/>
            <x v="15"/>
            <x v="16"/>
            <x v="18"/>
          </reference>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1" type="button" dataOnly="0" labelOnly="1" outline="0" axis="axisRow" fieldPosition="0"/>
    </format>
    <format dxfId="84">
      <pivotArea dataOnly="0" labelOnly="1" fieldPosition="0">
        <references count="1">
          <reference field="1" count="10">
            <x v="0"/>
            <x v="6"/>
            <x v="7"/>
            <x v="8"/>
            <x v="9"/>
            <x v="11"/>
            <x v="13"/>
            <x v="15"/>
            <x v="16"/>
            <x v="18"/>
          </reference>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1" type="button" dataOnly="0" labelOnly="1" outline="0" axis="axisRow" fieldPosition="0"/>
    </format>
    <format dxfId="78">
      <pivotArea dataOnly="0" labelOnly="1" fieldPosition="0">
        <references count="1">
          <reference field="1" count="10">
            <x v="0"/>
            <x v="6"/>
            <x v="7"/>
            <x v="8"/>
            <x v="9"/>
            <x v="11"/>
            <x v="13"/>
            <x v="15"/>
            <x v="16"/>
            <x v="18"/>
          </reference>
        </references>
      </pivotArea>
    </format>
    <format dxfId="77">
      <pivotArea dataOnly="0" labelOnly="1" grandRow="1" outline="0" fieldPosition="0"/>
    </format>
    <format dxfId="7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2CEEEF-C67C-408A-8AD7-6182CB524E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E18" firstHeaderRow="1" firstDataRow="2" firstDataCol="1"/>
  <pivotFields count="21">
    <pivotField showAll="0"/>
    <pivotField dataField="1" showAll="0"/>
    <pivotField showAll="0"/>
    <pivotField showAll="0"/>
    <pivotField showAll="0"/>
    <pivotField axis="axisRow" showAll="0">
      <items count="17">
        <item x="10"/>
        <item x="15"/>
        <item x="6"/>
        <item x="11"/>
        <item x="13"/>
        <item x="14"/>
        <item x="9"/>
        <item x="2"/>
        <item x="7"/>
        <item x="0"/>
        <item x="4"/>
        <item x="3"/>
        <item x="5"/>
        <item x="1"/>
        <item x="12"/>
        <item x="8"/>
        <item t="default"/>
      </items>
    </pivotField>
    <pivotField numFmtId="14" showAll="0"/>
    <pivotField numFmtId="14" showAll="0"/>
    <pivotField showAll="0"/>
    <pivotField showAll="0">
      <items count="19">
        <item x="2"/>
        <item h="1" x="4"/>
        <item x="10"/>
        <item h="1" x="6"/>
        <item h="1" x="13"/>
        <item x="15"/>
        <item x="14"/>
        <item x="7"/>
        <item x="16"/>
        <item x="3"/>
        <item x="9"/>
        <item x="17"/>
        <item x="1"/>
        <item x="11"/>
        <item x="0"/>
        <item x="5"/>
        <item x="12"/>
        <item x="8"/>
        <item t="default"/>
      </items>
    </pivotField>
    <pivotField showAll="0"/>
    <pivotField showAll="0"/>
    <pivotField showAll="0"/>
    <pivotField showAll="0"/>
    <pivotField showAll="0"/>
    <pivotField showAll="0">
      <items count="15">
        <item x="5"/>
        <item x="9"/>
        <item x="0"/>
        <item x="8"/>
        <item x="3"/>
        <item x="10"/>
        <item x="11"/>
        <item x="1"/>
        <item x="2"/>
        <item x="13"/>
        <item x="4"/>
        <item x="7"/>
        <item x="6"/>
        <item x="12"/>
        <item t="default"/>
      </items>
    </pivotField>
    <pivotField showAll="0"/>
    <pivotField showAll="0"/>
    <pivotField showAll="0"/>
    <pivotField axis="axisCol" multipleItemSelectionAllowed="1" showAll="0">
      <items count="4">
        <item h="1" x="1"/>
        <item x="2"/>
        <item x="0"/>
        <item t="default"/>
      </items>
    </pivotField>
    <pivotField showAll="0">
      <items count="3">
        <item x="1"/>
        <item x="0"/>
        <item t="default"/>
      </items>
    </pivotField>
  </pivotFields>
  <rowFields count="1">
    <field x="5"/>
  </rowFields>
  <rowItems count="14">
    <i>
      <x/>
    </i>
    <i>
      <x v="1"/>
    </i>
    <i>
      <x v="4"/>
    </i>
    <i>
      <x v="5"/>
    </i>
    <i>
      <x v="6"/>
    </i>
    <i>
      <x v="7"/>
    </i>
    <i>
      <x v="8"/>
    </i>
    <i>
      <x v="9"/>
    </i>
    <i>
      <x v="11"/>
    </i>
    <i>
      <x v="12"/>
    </i>
    <i>
      <x v="13"/>
    </i>
    <i>
      <x v="14"/>
    </i>
    <i>
      <x v="15"/>
    </i>
    <i t="grand">
      <x/>
    </i>
  </rowItems>
  <colFields count="1">
    <field x="19"/>
  </colFields>
  <colItems count="3">
    <i>
      <x v="1"/>
    </i>
    <i>
      <x v="2"/>
    </i>
    <i t="grand">
      <x/>
    </i>
  </colItems>
  <dataFields count="1">
    <dataField name="Count of Title" fld="1" subtotal="count" baseField="5" baseItem="0"/>
  </dataFields>
  <formats count="3">
    <format dxfId="64">
      <pivotArea type="all" dataOnly="0" outline="0" fieldPosition="0"/>
    </format>
    <format dxfId="63">
      <pivotArea type="all" dataOnly="0" outline="0" fieldPosition="0"/>
    </format>
    <format dxfId="62">
      <pivotArea type="all" dataOnly="0" outline="0" fieldPosition="0"/>
    </format>
  </format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2">
          <reference field="4294967294" count="1" selected="0">
            <x v="0"/>
          </reference>
          <reference field="19" count="1" selected="0">
            <x v="1"/>
          </reference>
        </references>
      </pivotArea>
    </chartFormat>
    <chartFormat chart="4" format="2" series="1">
      <pivotArea type="data" outline="0" fieldPosition="0">
        <references count="2">
          <reference field="4294967294" count="1" selected="0">
            <x v="0"/>
          </reference>
          <reference field="19" count="1" selected="0">
            <x v="2"/>
          </reference>
        </references>
      </pivotArea>
    </chartFormat>
    <chartFormat chart="4" format="3" series="1">
      <pivotArea type="data" outline="0" fieldPosition="0">
        <references count="2">
          <reference field="4294967294" count="1" selected="0">
            <x v="0"/>
          </reference>
          <reference field="19" count="1" selected="0">
            <x v="0"/>
          </reference>
        </references>
      </pivotArea>
    </chartFormat>
    <chartFormat chart="8" format="7" series="1">
      <pivotArea type="data" outline="0" fieldPosition="0">
        <references count="2">
          <reference field="4294967294" count="1" selected="0">
            <x v="0"/>
          </reference>
          <reference field="19" count="1" selected="0">
            <x v="0"/>
          </reference>
        </references>
      </pivotArea>
    </chartFormat>
    <chartFormat chart="8" format="8" series="1">
      <pivotArea type="data" outline="0" fieldPosition="0">
        <references count="2">
          <reference field="4294967294" count="1" selected="0">
            <x v="0"/>
          </reference>
          <reference field="19" count="1" selected="0">
            <x v="1"/>
          </reference>
        </references>
      </pivotArea>
    </chartFormat>
    <chartFormat chart="8" format="9" series="1">
      <pivotArea type="data" outline="0" fieldPosition="0">
        <references count="2">
          <reference field="4294967294" count="1" selected="0">
            <x v="0"/>
          </reference>
          <reference field="19" count="1" selected="0">
            <x v="2"/>
          </reference>
        </references>
      </pivotArea>
    </chartFormat>
    <chartFormat chart="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FDD915-75C5-4359-8141-BF0C1081AC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3:C18" firstHeaderRow="1" firstDataRow="1" firstDataCol="1"/>
  <pivotFields count="21">
    <pivotField showAll="0"/>
    <pivotField axis="axisRow"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items count="17">
        <item x="10"/>
        <item x="15"/>
        <item x="6"/>
        <item x="11"/>
        <item x="13"/>
        <item x="14"/>
        <item x="9"/>
        <item x="2"/>
        <item x="7"/>
        <item x="0"/>
        <item x="4"/>
        <item x="3"/>
        <item x="5"/>
        <item x="1"/>
        <item x="12"/>
        <item x="8"/>
        <item t="default"/>
      </items>
    </pivotField>
    <pivotField numFmtId="14" showAll="0"/>
    <pivotField numFmtId="14" showAll="0"/>
    <pivotField showAll="0"/>
    <pivotField showAll="0">
      <items count="19">
        <item x="2"/>
        <item h="1" x="4"/>
        <item x="10"/>
        <item h="1" x="6"/>
        <item h="1" x="13"/>
        <item x="15"/>
        <item x="14"/>
        <item x="7"/>
        <item x="16"/>
        <item x="3"/>
        <item x="9"/>
        <item x="17"/>
        <item x="1"/>
        <item x="11"/>
        <item x="0"/>
        <item x="5"/>
        <item x="12"/>
        <item x="8"/>
        <item t="default"/>
      </items>
    </pivotField>
    <pivotField showAll="0"/>
    <pivotField showAll="0"/>
    <pivotField showAll="0"/>
    <pivotField showAll="0"/>
    <pivotField showAll="0"/>
    <pivotField showAll="0">
      <items count="15">
        <item x="5"/>
        <item x="9"/>
        <item x="0"/>
        <item x="8"/>
        <item x="3"/>
        <item x="10"/>
        <item x="11"/>
        <item x="1"/>
        <item x="2"/>
        <item x="13"/>
        <item x="4"/>
        <item x="7"/>
        <item x="6"/>
        <item x="12"/>
        <item t="default"/>
      </items>
    </pivotField>
    <pivotField showAll="0"/>
    <pivotField dataField="1" showAll="0"/>
    <pivotField showAll="0"/>
    <pivotField showAll="0">
      <items count="4">
        <item h="1" x="1"/>
        <item x="2"/>
        <item x="0"/>
        <item t="default"/>
      </items>
    </pivotField>
    <pivotField showAll="0">
      <items count="3">
        <item x="1"/>
        <item x="0"/>
        <item t="default"/>
      </items>
    </pivotField>
  </pivotFields>
  <rowFields count="1">
    <field x="1"/>
  </rowFields>
  <rowItems count="15">
    <i>
      <x/>
    </i>
    <i>
      <x v="1"/>
    </i>
    <i>
      <x v="2"/>
    </i>
    <i>
      <x v="3"/>
    </i>
    <i>
      <x v="5"/>
    </i>
    <i>
      <x v="7"/>
    </i>
    <i>
      <x v="8"/>
    </i>
    <i>
      <x v="9"/>
    </i>
    <i>
      <x v="11"/>
    </i>
    <i>
      <x v="12"/>
    </i>
    <i>
      <x v="15"/>
    </i>
    <i>
      <x v="16"/>
    </i>
    <i>
      <x v="17"/>
    </i>
    <i>
      <x v="18"/>
    </i>
    <i t="grand">
      <x/>
    </i>
  </rowItems>
  <colItems count="1">
    <i/>
  </colItems>
  <dataFields count="1">
    <dataField name="Average of imdb_rating" fld="17" subtotal="average" baseField="15" baseItem="0"/>
  </dataFields>
  <formats count="16">
    <format dxfId="61">
      <pivotArea type="all" dataOnly="0" outline="0" fieldPosition="0"/>
    </format>
    <format dxfId="60">
      <pivotArea outline="0" collapsedLevelsAreSubtotals="1" fieldPosition="0"/>
    </format>
    <format dxfId="59">
      <pivotArea field="15" type="button" dataOnly="0" labelOnly="1" outline="0"/>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5" type="button" dataOnly="0" labelOnly="1" outline="0"/>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1" type="button" dataOnly="0" labelOnly="1" outline="0" axis="axisRow" fieldPosition="0"/>
    </format>
    <format dxfId="48">
      <pivotArea dataOnly="0" labelOnly="1" fieldPosition="0">
        <references count="1">
          <reference field="1" count="0"/>
        </references>
      </pivotArea>
    </format>
    <format dxfId="47">
      <pivotArea dataOnly="0" labelOnly="1" grandRow="1" outline="0" fieldPosition="0"/>
    </format>
    <format dxfId="46">
      <pivotArea dataOnly="0" labelOnly="1" outline="0" axis="axisValues" fieldPosition="0"/>
    </format>
  </formats>
  <chartFormats count="6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1" count="1" selected="0">
            <x v="0"/>
          </reference>
        </references>
      </pivotArea>
    </chartFormat>
    <chartFormat chart="19" format="3">
      <pivotArea type="data" outline="0" fieldPosition="0">
        <references count="2">
          <reference field="4294967294" count="1" selected="0">
            <x v="0"/>
          </reference>
          <reference field="1" count="1" selected="0">
            <x v="1"/>
          </reference>
        </references>
      </pivotArea>
    </chartFormat>
    <chartFormat chart="19" format="4">
      <pivotArea type="data" outline="0" fieldPosition="0">
        <references count="2">
          <reference field="4294967294" count="1" selected="0">
            <x v="0"/>
          </reference>
          <reference field="1" count="1" selected="0">
            <x v="2"/>
          </reference>
        </references>
      </pivotArea>
    </chartFormat>
    <chartFormat chart="19" format="5">
      <pivotArea type="data" outline="0" fieldPosition="0">
        <references count="2">
          <reference field="4294967294" count="1" selected="0">
            <x v="0"/>
          </reference>
          <reference field="1" count="1" selected="0">
            <x v="3"/>
          </reference>
        </references>
      </pivotArea>
    </chartFormat>
    <chartFormat chart="19" format="6">
      <pivotArea type="data" outline="0" fieldPosition="0">
        <references count="2">
          <reference field="4294967294" count="1" selected="0">
            <x v="0"/>
          </reference>
          <reference field="1" count="1" selected="0">
            <x v="4"/>
          </reference>
        </references>
      </pivotArea>
    </chartFormat>
    <chartFormat chart="19" format="7">
      <pivotArea type="data" outline="0" fieldPosition="0">
        <references count="2">
          <reference field="4294967294" count="1" selected="0">
            <x v="0"/>
          </reference>
          <reference field="1" count="1" selected="0">
            <x v="5"/>
          </reference>
        </references>
      </pivotArea>
    </chartFormat>
    <chartFormat chart="19" format="8">
      <pivotArea type="data" outline="0" fieldPosition="0">
        <references count="2">
          <reference field="4294967294" count="1" selected="0">
            <x v="0"/>
          </reference>
          <reference field="1" count="1" selected="0">
            <x v="6"/>
          </reference>
        </references>
      </pivotArea>
    </chartFormat>
    <chartFormat chart="19" format="9">
      <pivotArea type="data" outline="0" fieldPosition="0">
        <references count="2">
          <reference field="4294967294" count="1" selected="0">
            <x v="0"/>
          </reference>
          <reference field="1" count="1" selected="0">
            <x v="7"/>
          </reference>
        </references>
      </pivotArea>
    </chartFormat>
    <chartFormat chart="19" format="10">
      <pivotArea type="data" outline="0" fieldPosition="0">
        <references count="2">
          <reference field="4294967294" count="1" selected="0">
            <x v="0"/>
          </reference>
          <reference field="1" count="1" selected="0">
            <x v="8"/>
          </reference>
        </references>
      </pivotArea>
    </chartFormat>
    <chartFormat chart="19" format="11">
      <pivotArea type="data" outline="0" fieldPosition="0">
        <references count="2">
          <reference field="4294967294" count="1" selected="0">
            <x v="0"/>
          </reference>
          <reference field="1" count="1" selected="0">
            <x v="9"/>
          </reference>
        </references>
      </pivotArea>
    </chartFormat>
    <chartFormat chart="19" format="12">
      <pivotArea type="data" outline="0" fieldPosition="0">
        <references count="2">
          <reference field="4294967294" count="1" selected="0">
            <x v="0"/>
          </reference>
          <reference field="1" count="1" selected="0">
            <x v="10"/>
          </reference>
        </references>
      </pivotArea>
    </chartFormat>
    <chartFormat chart="19" format="13">
      <pivotArea type="data" outline="0" fieldPosition="0">
        <references count="2">
          <reference field="4294967294" count="1" selected="0">
            <x v="0"/>
          </reference>
          <reference field="1" count="1" selected="0">
            <x v="11"/>
          </reference>
        </references>
      </pivotArea>
    </chartFormat>
    <chartFormat chart="19" format="14">
      <pivotArea type="data" outline="0" fieldPosition="0">
        <references count="2">
          <reference field="4294967294" count="1" selected="0">
            <x v="0"/>
          </reference>
          <reference field="1" count="1" selected="0">
            <x v="12"/>
          </reference>
        </references>
      </pivotArea>
    </chartFormat>
    <chartFormat chart="19" format="15">
      <pivotArea type="data" outline="0" fieldPosition="0">
        <references count="2">
          <reference field="4294967294" count="1" selected="0">
            <x v="0"/>
          </reference>
          <reference field="1" count="1" selected="0">
            <x v="13"/>
          </reference>
        </references>
      </pivotArea>
    </chartFormat>
    <chartFormat chart="19" format="16">
      <pivotArea type="data" outline="0" fieldPosition="0">
        <references count="2">
          <reference field="4294967294" count="1" selected="0">
            <x v="0"/>
          </reference>
          <reference field="1" count="1" selected="0">
            <x v="14"/>
          </reference>
        </references>
      </pivotArea>
    </chartFormat>
    <chartFormat chart="19" format="17">
      <pivotArea type="data" outline="0" fieldPosition="0">
        <references count="2">
          <reference field="4294967294" count="1" selected="0">
            <x v="0"/>
          </reference>
          <reference field="1" count="1" selected="0">
            <x v="15"/>
          </reference>
        </references>
      </pivotArea>
    </chartFormat>
    <chartFormat chart="19" format="18">
      <pivotArea type="data" outline="0" fieldPosition="0">
        <references count="2">
          <reference field="4294967294" count="1" selected="0">
            <x v="0"/>
          </reference>
          <reference field="1" count="1" selected="0">
            <x v="16"/>
          </reference>
        </references>
      </pivotArea>
    </chartFormat>
    <chartFormat chart="19" format="19">
      <pivotArea type="data" outline="0" fieldPosition="0">
        <references count="2">
          <reference field="4294967294" count="1" selected="0">
            <x v="0"/>
          </reference>
          <reference field="1" count="1" selected="0">
            <x v="17"/>
          </reference>
        </references>
      </pivotArea>
    </chartFormat>
    <chartFormat chart="19" format="20">
      <pivotArea type="data" outline="0" fieldPosition="0">
        <references count="2">
          <reference field="4294967294" count="1" selected="0">
            <x v="0"/>
          </reference>
          <reference field="1" count="1" selected="0">
            <x v="18"/>
          </reference>
        </references>
      </pivotArea>
    </chartFormat>
    <chartFormat chart="20" format="21" series="1">
      <pivotArea type="data" outline="0" fieldPosition="0">
        <references count="1">
          <reference field="4294967294" count="1" selected="0">
            <x v="0"/>
          </reference>
        </references>
      </pivotArea>
    </chartFormat>
    <chartFormat chart="20" format="22">
      <pivotArea type="data" outline="0" fieldPosition="0">
        <references count="2">
          <reference field="4294967294" count="1" selected="0">
            <x v="0"/>
          </reference>
          <reference field="1" count="1" selected="0">
            <x v="0"/>
          </reference>
        </references>
      </pivotArea>
    </chartFormat>
    <chartFormat chart="20" format="23">
      <pivotArea type="data" outline="0" fieldPosition="0">
        <references count="2">
          <reference field="4294967294" count="1" selected="0">
            <x v="0"/>
          </reference>
          <reference field="1" count="1" selected="0">
            <x v="1"/>
          </reference>
        </references>
      </pivotArea>
    </chartFormat>
    <chartFormat chart="20" format="24">
      <pivotArea type="data" outline="0" fieldPosition="0">
        <references count="2">
          <reference field="4294967294" count="1" selected="0">
            <x v="0"/>
          </reference>
          <reference field="1" count="1" selected="0">
            <x v="2"/>
          </reference>
        </references>
      </pivotArea>
    </chartFormat>
    <chartFormat chart="20" format="25">
      <pivotArea type="data" outline="0" fieldPosition="0">
        <references count="2">
          <reference field="4294967294" count="1" selected="0">
            <x v="0"/>
          </reference>
          <reference field="1" count="1" selected="0">
            <x v="3"/>
          </reference>
        </references>
      </pivotArea>
    </chartFormat>
    <chartFormat chart="20" format="26">
      <pivotArea type="data" outline="0" fieldPosition="0">
        <references count="2">
          <reference field="4294967294" count="1" selected="0">
            <x v="0"/>
          </reference>
          <reference field="1" count="1" selected="0">
            <x v="4"/>
          </reference>
        </references>
      </pivotArea>
    </chartFormat>
    <chartFormat chart="20" format="27">
      <pivotArea type="data" outline="0" fieldPosition="0">
        <references count="2">
          <reference field="4294967294" count="1" selected="0">
            <x v="0"/>
          </reference>
          <reference field="1" count="1" selected="0">
            <x v="5"/>
          </reference>
        </references>
      </pivotArea>
    </chartFormat>
    <chartFormat chart="20" format="28">
      <pivotArea type="data" outline="0" fieldPosition="0">
        <references count="2">
          <reference field="4294967294" count="1" selected="0">
            <x v="0"/>
          </reference>
          <reference field="1" count="1" selected="0">
            <x v="6"/>
          </reference>
        </references>
      </pivotArea>
    </chartFormat>
    <chartFormat chart="20" format="29">
      <pivotArea type="data" outline="0" fieldPosition="0">
        <references count="2">
          <reference field="4294967294" count="1" selected="0">
            <x v="0"/>
          </reference>
          <reference field="1" count="1" selected="0">
            <x v="7"/>
          </reference>
        </references>
      </pivotArea>
    </chartFormat>
    <chartFormat chart="20" format="30">
      <pivotArea type="data" outline="0" fieldPosition="0">
        <references count="2">
          <reference field="4294967294" count="1" selected="0">
            <x v="0"/>
          </reference>
          <reference field="1" count="1" selected="0">
            <x v="8"/>
          </reference>
        </references>
      </pivotArea>
    </chartFormat>
    <chartFormat chart="20" format="31">
      <pivotArea type="data" outline="0" fieldPosition="0">
        <references count="2">
          <reference field="4294967294" count="1" selected="0">
            <x v="0"/>
          </reference>
          <reference field="1" count="1" selected="0">
            <x v="9"/>
          </reference>
        </references>
      </pivotArea>
    </chartFormat>
    <chartFormat chart="20" format="32">
      <pivotArea type="data" outline="0" fieldPosition="0">
        <references count="2">
          <reference field="4294967294" count="1" selected="0">
            <x v="0"/>
          </reference>
          <reference field="1" count="1" selected="0">
            <x v="10"/>
          </reference>
        </references>
      </pivotArea>
    </chartFormat>
    <chartFormat chart="20" format="33">
      <pivotArea type="data" outline="0" fieldPosition="0">
        <references count="2">
          <reference field="4294967294" count="1" selected="0">
            <x v="0"/>
          </reference>
          <reference field="1" count="1" selected="0">
            <x v="11"/>
          </reference>
        </references>
      </pivotArea>
    </chartFormat>
    <chartFormat chart="20" format="34">
      <pivotArea type="data" outline="0" fieldPosition="0">
        <references count="2">
          <reference field="4294967294" count="1" selected="0">
            <x v="0"/>
          </reference>
          <reference field="1" count="1" selected="0">
            <x v="12"/>
          </reference>
        </references>
      </pivotArea>
    </chartFormat>
    <chartFormat chart="20" format="35">
      <pivotArea type="data" outline="0" fieldPosition="0">
        <references count="2">
          <reference field="4294967294" count="1" selected="0">
            <x v="0"/>
          </reference>
          <reference field="1" count="1" selected="0">
            <x v="13"/>
          </reference>
        </references>
      </pivotArea>
    </chartFormat>
    <chartFormat chart="20" format="36">
      <pivotArea type="data" outline="0" fieldPosition="0">
        <references count="2">
          <reference field="4294967294" count="1" selected="0">
            <x v="0"/>
          </reference>
          <reference field="1" count="1" selected="0">
            <x v="14"/>
          </reference>
        </references>
      </pivotArea>
    </chartFormat>
    <chartFormat chart="20" format="37">
      <pivotArea type="data" outline="0" fieldPosition="0">
        <references count="2">
          <reference field="4294967294" count="1" selected="0">
            <x v="0"/>
          </reference>
          <reference field="1" count="1" selected="0">
            <x v="15"/>
          </reference>
        </references>
      </pivotArea>
    </chartFormat>
    <chartFormat chart="20" format="38">
      <pivotArea type="data" outline="0" fieldPosition="0">
        <references count="2">
          <reference field="4294967294" count="1" selected="0">
            <x v="0"/>
          </reference>
          <reference field="1" count="1" selected="0">
            <x v="16"/>
          </reference>
        </references>
      </pivotArea>
    </chartFormat>
    <chartFormat chart="20" format="39">
      <pivotArea type="data" outline="0" fieldPosition="0">
        <references count="2">
          <reference field="4294967294" count="1" selected="0">
            <x v="0"/>
          </reference>
          <reference field="1" count="1" selected="0">
            <x v="17"/>
          </reference>
        </references>
      </pivotArea>
    </chartFormat>
    <chartFormat chart="20" format="40">
      <pivotArea type="data" outline="0" fieldPosition="0">
        <references count="2">
          <reference field="4294967294" count="1" selected="0">
            <x v="0"/>
          </reference>
          <reference field="1" count="1" selected="0">
            <x v="18"/>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 chart="2" format="7">
      <pivotArea type="data" outline="0" fieldPosition="0">
        <references count="2">
          <reference field="4294967294" count="1" selected="0">
            <x v="0"/>
          </reference>
          <reference field="1" count="1" selected="0">
            <x v="6"/>
          </reference>
        </references>
      </pivotArea>
    </chartFormat>
    <chartFormat chart="2" format="8">
      <pivotArea type="data" outline="0" fieldPosition="0">
        <references count="2">
          <reference field="4294967294" count="1" selected="0">
            <x v="0"/>
          </reference>
          <reference field="1" count="1" selected="0">
            <x v="7"/>
          </reference>
        </references>
      </pivotArea>
    </chartFormat>
    <chartFormat chart="2" format="9">
      <pivotArea type="data" outline="0" fieldPosition="0">
        <references count="2">
          <reference field="4294967294" count="1" selected="0">
            <x v="0"/>
          </reference>
          <reference field="1" count="1" selected="0">
            <x v="8"/>
          </reference>
        </references>
      </pivotArea>
    </chartFormat>
    <chartFormat chart="2" format="10">
      <pivotArea type="data" outline="0" fieldPosition="0">
        <references count="2">
          <reference field="4294967294" count="1" selected="0">
            <x v="0"/>
          </reference>
          <reference field="1" count="1" selected="0">
            <x v="9"/>
          </reference>
        </references>
      </pivotArea>
    </chartFormat>
    <chartFormat chart="2" format="11">
      <pivotArea type="data" outline="0" fieldPosition="0">
        <references count="2">
          <reference field="4294967294" count="1" selected="0">
            <x v="0"/>
          </reference>
          <reference field="1" count="1" selected="0">
            <x v="10"/>
          </reference>
        </references>
      </pivotArea>
    </chartFormat>
    <chartFormat chart="2" format="12">
      <pivotArea type="data" outline="0" fieldPosition="0">
        <references count="2">
          <reference field="4294967294" count="1" selected="0">
            <x v="0"/>
          </reference>
          <reference field="1" count="1" selected="0">
            <x v="11"/>
          </reference>
        </references>
      </pivotArea>
    </chartFormat>
    <chartFormat chart="2" format="13">
      <pivotArea type="data" outline="0" fieldPosition="0">
        <references count="2">
          <reference field="4294967294" count="1" selected="0">
            <x v="0"/>
          </reference>
          <reference field="1" count="1" selected="0">
            <x v="12"/>
          </reference>
        </references>
      </pivotArea>
    </chartFormat>
    <chartFormat chart="2" format="14">
      <pivotArea type="data" outline="0" fieldPosition="0">
        <references count="2">
          <reference field="4294967294" count="1" selected="0">
            <x v="0"/>
          </reference>
          <reference field="1" count="1" selected="0">
            <x v="13"/>
          </reference>
        </references>
      </pivotArea>
    </chartFormat>
    <chartFormat chart="2" format="15">
      <pivotArea type="data" outline="0" fieldPosition="0">
        <references count="2">
          <reference field="4294967294" count="1" selected="0">
            <x v="0"/>
          </reference>
          <reference field="1" count="1" selected="0">
            <x v="14"/>
          </reference>
        </references>
      </pivotArea>
    </chartFormat>
    <chartFormat chart="2" format="16">
      <pivotArea type="data" outline="0" fieldPosition="0">
        <references count="2">
          <reference field="4294967294" count="1" selected="0">
            <x v="0"/>
          </reference>
          <reference field="1" count="1" selected="0">
            <x v="15"/>
          </reference>
        </references>
      </pivotArea>
    </chartFormat>
    <chartFormat chart="2" format="17">
      <pivotArea type="data" outline="0" fieldPosition="0">
        <references count="2">
          <reference field="4294967294" count="1" selected="0">
            <x v="0"/>
          </reference>
          <reference field="1" count="1" selected="0">
            <x v="16"/>
          </reference>
        </references>
      </pivotArea>
    </chartFormat>
    <chartFormat chart="2" format="18">
      <pivotArea type="data" outline="0" fieldPosition="0">
        <references count="2">
          <reference field="4294967294" count="1" selected="0">
            <x v="0"/>
          </reference>
          <reference field="1" count="1" selected="0">
            <x v="17"/>
          </reference>
        </references>
      </pivotArea>
    </chartFormat>
    <chartFormat chart="2" format="19">
      <pivotArea type="data" outline="0" fieldPosition="0">
        <references count="2">
          <reference field="4294967294" count="1" selected="0">
            <x v="0"/>
          </reference>
          <reference field="1"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632A4A-7459-415D-93B1-FB63648CDB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C16" firstHeaderRow="1" firstDataRow="1" firstDataCol="1"/>
  <pivotFields count="21">
    <pivotField showAll="0"/>
    <pivotField showAll="0"/>
    <pivotField showAll="0"/>
    <pivotField showAll="0"/>
    <pivotField showAll="0"/>
    <pivotField showAll="0">
      <items count="17">
        <item x="10"/>
        <item x="15"/>
        <item x="6"/>
        <item x="11"/>
        <item x="13"/>
        <item x="14"/>
        <item x="9"/>
        <item x="2"/>
        <item x="7"/>
        <item x="0"/>
        <item x="4"/>
        <item x="3"/>
        <item x="5"/>
        <item x="1"/>
        <item x="12"/>
        <item x="8"/>
        <item t="default"/>
      </items>
    </pivotField>
    <pivotField numFmtId="14" showAll="0"/>
    <pivotField numFmtId="14" showAll="0"/>
    <pivotField showAll="0"/>
    <pivotField showAll="0">
      <items count="19">
        <item x="2"/>
        <item h="1" x="4"/>
        <item x="10"/>
        <item h="1" x="6"/>
        <item h="1" x="13"/>
        <item x="15"/>
        <item x="14"/>
        <item x="7"/>
        <item x="16"/>
        <item x="3"/>
        <item x="9"/>
        <item x="17"/>
        <item x="1"/>
        <item x="11"/>
        <item x="0"/>
        <item x="5"/>
        <item x="12"/>
        <item x="8"/>
        <item t="default"/>
      </items>
    </pivotField>
    <pivotField showAll="0"/>
    <pivotField showAll="0"/>
    <pivotField showAll="0"/>
    <pivotField showAll="0"/>
    <pivotField showAll="0"/>
    <pivotField axis="axisRow" dataField="1" showAll="0">
      <items count="15">
        <item x="5"/>
        <item x="9"/>
        <item x="0"/>
        <item x="8"/>
        <item x="3"/>
        <item x="10"/>
        <item x="11"/>
        <item h="1" x="1"/>
        <item x="2"/>
        <item x="13"/>
        <item x="4"/>
        <item x="7"/>
        <item x="6"/>
        <item x="12"/>
        <item t="default"/>
      </items>
    </pivotField>
    <pivotField showAll="0"/>
    <pivotField showAll="0"/>
    <pivotField showAll="0"/>
    <pivotField showAll="0">
      <items count="4">
        <item h="1" x="1"/>
        <item x="2"/>
        <item x="0"/>
        <item t="default"/>
      </items>
    </pivotField>
    <pivotField axis="axisRow" showAll="0">
      <items count="3">
        <item x="1"/>
        <item x="0"/>
        <item t="default"/>
      </items>
    </pivotField>
  </pivotFields>
  <rowFields count="2">
    <field x="20"/>
    <field x="15"/>
  </rowFields>
  <rowItems count="12">
    <i>
      <x/>
    </i>
    <i r="1">
      <x/>
    </i>
    <i r="1">
      <x v="1"/>
    </i>
    <i r="1">
      <x v="2"/>
    </i>
    <i r="1">
      <x v="3"/>
    </i>
    <i r="1">
      <x v="4"/>
    </i>
    <i r="1">
      <x v="6"/>
    </i>
    <i r="1">
      <x v="8"/>
    </i>
    <i r="1">
      <x v="9"/>
    </i>
    <i r="1">
      <x v="11"/>
    </i>
    <i r="1">
      <x v="13"/>
    </i>
    <i t="grand">
      <x/>
    </i>
  </rowItems>
  <colItems count="1">
    <i/>
  </colItems>
  <dataFields count="1">
    <dataField name="Count of Awards" fld="15" subtotal="count" baseField="20" baseItem="0"/>
  </dataFields>
  <formats count="13">
    <format dxfId="45">
      <pivotArea type="all" dataOnly="0" outline="0" fieldPosition="0"/>
    </format>
    <format dxfId="44">
      <pivotArea outline="0" collapsedLevelsAreSubtotals="1" fieldPosition="0"/>
    </format>
    <format dxfId="43">
      <pivotArea field="15" type="button" dataOnly="0" labelOnly="1" outline="0" axis="axisRow" fieldPosition="1"/>
    </format>
    <format dxfId="42">
      <pivotArea dataOnly="0" labelOnly="1" fieldPosition="0">
        <references count="1">
          <reference field="15"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20" type="button" dataOnly="0" labelOnly="1" outline="0" axis="axisRow" fieldPosition="0"/>
    </format>
    <format dxfId="36">
      <pivotArea dataOnly="0" labelOnly="1" fieldPosition="0">
        <references count="1">
          <reference field="20" count="1">
            <x v="0"/>
          </reference>
        </references>
      </pivotArea>
    </format>
    <format dxfId="35">
      <pivotArea dataOnly="0" labelOnly="1" grandRow="1" outline="0" fieldPosition="0"/>
    </format>
    <format dxfId="34">
      <pivotArea dataOnly="0" labelOnly="1" fieldPosition="0">
        <references count="2">
          <reference field="15" count="0"/>
          <reference field="20" count="1" selected="0">
            <x v="0"/>
          </reference>
        </references>
      </pivotArea>
    </format>
    <format dxfId="33">
      <pivotArea dataOnly="0" labelOnly="1" outline="0" axis="axisValues" fieldPosition="0"/>
    </format>
  </formats>
  <chartFormats count="4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3"/>
          </reference>
        </references>
      </pivotArea>
    </chartFormat>
    <chartFormat chart="1" format="2">
      <pivotArea type="data" outline="0" fieldPosition="0">
        <references count="2">
          <reference field="4294967294" count="1" selected="0">
            <x v="0"/>
          </reference>
          <reference field="15" count="1" selected="0">
            <x v="5"/>
          </reference>
        </references>
      </pivotArea>
    </chartFormat>
    <chartFormat chart="1" format="3">
      <pivotArea type="data" outline="0" fieldPosition="0">
        <references count="2">
          <reference field="4294967294" count="1" selected="0">
            <x v="0"/>
          </reference>
          <reference field="15" count="1" selected="0">
            <x v="8"/>
          </reference>
        </references>
      </pivotArea>
    </chartFormat>
    <chartFormat chart="1" format="4">
      <pivotArea type="data" outline="0" fieldPosition="0">
        <references count="2">
          <reference field="4294967294" count="1" selected="0">
            <x v="0"/>
          </reference>
          <reference field="15" count="1" selected="0">
            <x v="6"/>
          </reference>
        </references>
      </pivotArea>
    </chartFormat>
    <chartFormat chart="1" format="5">
      <pivotArea type="data" outline="0" fieldPosition="0">
        <references count="2">
          <reference field="4294967294" count="1" selected="0">
            <x v="0"/>
          </reference>
          <reference field="15" count="1" selected="0">
            <x v="2"/>
          </reference>
        </references>
      </pivotArea>
    </chartFormat>
    <chartFormat chart="1" format="6">
      <pivotArea type="data" outline="0" fieldPosition="0">
        <references count="2">
          <reference field="4294967294" count="1" selected="0">
            <x v="0"/>
          </reference>
          <reference field="15" count="1" selected="0">
            <x v="12"/>
          </reference>
        </references>
      </pivotArea>
    </chartFormat>
    <chartFormat chart="1" format="7">
      <pivotArea type="data" outline="0" fieldPosition="0">
        <references count="2">
          <reference field="4294967294" count="1" selected="0">
            <x v="0"/>
          </reference>
          <reference field="15" count="1" selected="0">
            <x v="11"/>
          </reference>
        </references>
      </pivotArea>
    </chartFormat>
    <chartFormat chart="1" format="8">
      <pivotArea type="data" outline="0" fieldPosition="0">
        <references count="2">
          <reference field="4294967294" count="1" selected="0">
            <x v="0"/>
          </reference>
          <reference field="15" count="1" selected="0">
            <x v="13"/>
          </reference>
        </references>
      </pivotArea>
    </chartFormat>
    <chartFormat chart="5" format="23"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15" count="1" selected="0">
            <x v="0"/>
          </reference>
        </references>
      </pivotArea>
    </chartFormat>
    <chartFormat chart="5" format="25">
      <pivotArea type="data" outline="0" fieldPosition="0">
        <references count="2">
          <reference field="4294967294" count="1" selected="0">
            <x v="0"/>
          </reference>
          <reference field="15" count="1" selected="0">
            <x v="1"/>
          </reference>
        </references>
      </pivotArea>
    </chartFormat>
    <chartFormat chart="5" format="26">
      <pivotArea type="data" outline="0" fieldPosition="0">
        <references count="2">
          <reference field="4294967294" count="1" selected="0">
            <x v="0"/>
          </reference>
          <reference field="15" count="1" selected="0">
            <x v="2"/>
          </reference>
        </references>
      </pivotArea>
    </chartFormat>
    <chartFormat chart="5" format="27">
      <pivotArea type="data" outline="0" fieldPosition="0">
        <references count="2">
          <reference field="4294967294" count="1" selected="0">
            <x v="0"/>
          </reference>
          <reference field="15" count="1" selected="0">
            <x v="3"/>
          </reference>
        </references>
      </pivotArea>
    </chartFormat>
    <chartFormat chart="5" format="28">
      <pivotArea type="data" outline="0" fieldPosition="0">
        <references count="2">
          <reference field="4294967294" count="1" selected="0">
            <x v="0"/>
          </reference>
          <reference field="15" count="1" selected="0">
            <x v="4"/>
          </reference>
        </references>
      </pivotArea>
    </chartFormat>
    <chartFormat chart="5" format="29">
      <pivotArea type="data" outline="0" fieldPosition="0">
        <references count="2">
          <reference field="4294967294" count="1" selected="0">
            <x v="0"/>
          </reference>
          <reference field="15" count="1" selected="0">
            <x v="5"/>
          </reference>
        </references>
      </pivotArea>
    </chartFormat>
    <chartFormat chart="5" format="30">
      <pivotArea type="data" outline="0" fieldPosition="0">
        <references count="2">
          <reference field="4294967294" count="1" selected="0">
            <x v="0"/>
          </reference>
          <reference field="15" count="1" selected="0">
            <x v="6"/>
          </reference>
        </references>
      </pivotArea>
    </chartFormat>
    <chartFormat chart="5" format="31">
      <pivotArea type="data" outline="0" fieldPosition="0">
        <references count="2">
          <reference field="4294967294" count="1" selected="0">
            <x v="0"/>
          </reference>
          <reference field="15" count="1" selected="0">
            <x v="8"/>
          </reference>
        </references>
      </pivotArea>
    </chartFormat>
    <chartFormat chart="5" format="32">
      <pivotArea type="data" outline="0" fieldPosition="0">
        <references count="2">
          <reference field="4294967294" count="1" selected="0">
            <x v="0"/>
          </reference>
          <reference field="15" count="1" selected="0">
            <x v="9"/>
          </reference>
        </references>
      </pivotArea>
    </chartFormat>
    <chartFormat chart="5" format="33">
      <pivotArea type="data" outline="0" fieldPosition="0">
        <references count="2">
          <reference field="4294967294" count="1" selected="0">
            <x v="0"/>
          </reference>
          <reference field="15" count="1" selected="0">
            <x v="10"/>
          </reference>
        </references>
      </pivotArea>
    </chartFormat>
    <chartFormat chart="5" format="34">
      <pivotArea type="data" outline="0" fieldPosition="0">
        <references count="2">
          <reference field="4294967294" count="1" selected="0">
            <x v="0"/>
          </reference>
          <reference field="15" count="1" selected="0">
            <x v="11"/>
          </reference>
        </references>
      </pivotArea>
    </chartFormat>
    <chartFormat chart="5" format="35">
      <pivotArea type="data" outline="0" fieldPosition="0">
        <references count="2">
          <reference field="4294967294" count="1" selected="0">
            <x v="0"/>
          </reference>
          <reference field="15" count="1" selected="0">
            <x v="12"/>
          </reference>
        </references>
      </pivotArea>
    </chartFormat>
    <chartFormat chart="5" format="36">
      <pivotArea type="data" outline="0" fieldPosition="0">
        <references count="2">
          <reference field="4294967294" count="1" selected="0">
            <x v="0"/>
          </reference>
          <reference field="15" count="1" selected="0">
            <x v="13"/>
          </reference>
        </references>
      </pivotArea>
    </chartFormat>
    <chartFormat chart="5" format="37">
      <pivotArea type="data" outline="0" fieldPosition="0">
        <references count="3">
          <reference field="4294967294" count="1" selected="0">
            <x v="0"/>
          </reference>
          <reference field="15" count="1" selected="0">
            <x v="1"/>
          </reference>
          <reference field="20" count="1" selected="0">
            <x v="0"/>
          </reference>
        </references>
      </pivotArea>
    </chartFormat>
    <chartFormat chart="5" format="38">
      <pivotArea type="data" outline="0" fieldPosition="0">
        <references count="3">
          <reference field="4294967294" count="1" selected="0">
            <x v="0"/>
          </reference>
          <reference field="15" count="1" selected="0">
            <x v="2"/>
          </reference>
          <reference field="20" count="1" selected="0">
            <x v="0"/>
          </reference>
        </references>
      </pivotArea>
    </chartFormat>
    <chartFormat chart="5" format="39">
      <pivotArea type="data" outline="0" fieldPosition="0">
        <references count="3">
          <reference field="4294967294" count="1" selected="0">
            <x v="0"/>
          </reference>
          <reference field="15" count="1" selected="0">
            <x v="3"/>
          </reference>
          <reference field="20" count="1" selected="0">
            <x v="0"/>
          </reference>
        </references>
      </pivotArea>
    </chartFormat>
    <chartFormat chart="5" format="40">
      <pivotArea type="data" outline="0" fieldPosition="0">
        <references count="3">
          <reference field="4294967294" count="1" selected="0">
            <x v="0"/>
          </reference>
          <reference field="15" count="1" selected="0">
            <x v="4"/>
          </reference>
          <reference field="20" count="1" selected="0">
            <x v="0"/>
          </reference>
        </references>
      </pivotArea>
    </chartFormat>
    <chartFormat chart="5" format="41">
      <pivotArea type="data" outline="0" fieldPosition="0">
        <references count="3">
          <reference field="4294967294" count="1" selected="0">
            <x v="0"/>
          </reference>
          <reference field="15" count="1" selected="0">
            <x v="5"/>
          </reference>
          <reference field="20" count="1" selected="0">
            <x v="0"/>
          </reference>
        </references>
      </pivotArea>
    </chartFormat>
    <chartFormat chart="5" format="42">
      <pivotArea type="data" outline="0" fieldPosition="0">
        <references count="3">
          <reference field="4294967294" count="1" selected="0">
            <x v="0"/>
          </reference>
          <reference field="15" count="1" selected="0">
            <x v="6"/>
          </reference>
          <reference field="20" count="1" selected="0">
            <x v="0"/>
          </reference>
        </references>
      </pivotArea>
    </chartFormat>
    <chartFormat chart="5" format="43">
      <pivotArea type="data" outline="0" fieldPosition="0">
        <references count="3">
          <reference field="4294967294" count="1" selected="0">
            <x v="0"/>
          </reference>
          <reference field="15" count="1" selected="0">
            <x v="8"/>
          </reference>
          <reference field="20" count="1" selected="0">
            <x v="0"/>
          </reference>
        </references>
      </pivotArea>
    </chartFormat>
    <chartFormat chart="5" format="44">
      <pivotArea type="data" outline="0" fieldPosition="0">
        <references count="3">
          <reference field="4294967294" count="1" selected="0">
            <x v="0"/>
          </reference>
          <reference field="15" count="1" selected="0">
            <x v="9"/>
          </reference>
          <reference field="20" count="1" selected="0">
            <x v="0"/>
          </reference>
        </references>
      </pivotArea>
    </chartFormat>
    <chartFormat chart="5" format="45">
      <pivotArea type="data" outline="0" fieldPosition="0">
        <references count="3">
          <reference field="4294967294" count="1" selected="0">
            <x v="0"/>
          </reference>
          <reference field="15" count="1" selected="0">
            <x v="10"/>
          </reference>
          <reference field="20" count="1" selected="0">
            <x v="0"/>
          </reference>
        </references>
      </pivotArea>
    </chartFormat>
    <chartFormat chart="5" format="46">
      <pivotArea type="data" outline="0" fieldPosition="0">
        <references count="3">
          <reference field="4294967294" count="1" selected="0">
            <x v="0"/>
          </reference>
          <reference field="15" count="1" selected="0">
            <x v="11"/>
          </reference>
          <reference field="20" count="1" selected="0">
            <x v="0"/>
          </reference>
        </references>
      </pivotArea>
    </chartFormat>
    <chartFormat chart="5" format="47">
      <pivotArea type="data" outline="0" fieldPosition="0">
        <references count="3">
          <reference field="4294967294" count="1" selected="0">
            <x v="0"/>
          </reference>
          <reference field="15" count="1" selected="0">
            <x v="12"/>
          </reference>
          <reference field="20" count="1" selected="0">
            <x v="0"/>
          </reference>
        </references>
      </pivotArea>
    </chartFormat>
    <chartFormat chart="5" format="48">
      <pivotArea type="data" outline="0" fieldPosition="0">
        <references count="3">
          <reference field="4294967294" count="1" selected="0">
            <x v="0"/>
          </reference>
          <reference field="15" count="1" selected="0">
            <x v="13"/>
          </reference>
          <reference field="20" count="1" selected="0">
            <x v="0"/>
          </reference>
        </references>
      </pivotArea>
    </chartFormat>
    <chartFormat chart="1" format="9">
      <pivotArea type="data" outline="0" fieldPosition="0">
        <references count="3">
          <reference field="4294967294" count="1" selected="0">
            <x v="0"/>
          </reference>
          <reference field="15" count="1" selected="0">
            <x v="0"/>
          </reference>
          <reference field="20" count="1" selected="0">
            <x v="0"/>
          </reference>
        </references>
      </pivotArea>
    </chartFormat>
    <chartFormat chart="1" format="10">
      <pivotArea type="data" outline="0" fieldPosition="0">
        <references count="3">
          <reference field="4294967294" count="1" selected="0">
            <x v="0"/>
          </reference>
          <reference field="15" count="1" selected="0">
            <x v="1"/>
          </reference>
          <reference field="20" count="1" selected="0">
            <x v="0"/>
          </reference>
        </references>
      </pivotArea>
    </chartFormat>
    <chartFormat chart="1" format="11">
      <pivotArea type="data" outline="0" fieldPosition="0">
        <references count="3">
          <reference field="4294967294" count="1" selected="0">
            <x v="0"/>
          </reference>
          <reference field="15" count="1" selected="0">
            <x v="4"/>
          </reference>
          <reference field="20" count="1" selected="0">
            <x v="0"/>
          </reference>
        </references>
      </pivotArea>
    </chartFormat>
    <chartFormat chart="1" format="12">
      <pivotArea type="data" outline="0" fieldPosition="0">
        <references count="3">
          <reference field="4294967294" count="1" selected="0">
            <x v="0"/>
          </reference>
          <reference field="15" count="1" selected="0">
            <x v="9"/>
          </reference>
          <reference field="20" count="1" selected="0">
            <x v="0"/>
          </reference>
        </references>
      </pivotArea>
    </chartFormat>
    <chartFormat chart="1" format="13">
      <pivotArea type="data" outline="0" fieldPosition="0">
        <references count="3">
          <reference field="4294967294" count="1" selected="0">
            <x v="0"/>
          </reference>
          <reference field="15" count="1" selected="0">
            <x v="1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F0006E-D370-401A-973E-23B5971097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D16" firstHeaderRow="0" firstDataRow="1" firstDataCol="1"/>
  <pivotFields count="21">
    <pivotField showAll="0"/>
    <pivotField showAll="0"/>
    <pivotField showAll="0"/>
    <pivotField showAll="0"/>
    <pivotField showAll="0"/>
    <pivotField showAll="0">
      <items count="17">
        <item x="10"/>
        <item x="15"/>
        <item x="6"/>
        <item x="11"/>
        <item x="13"/>
        <item x="14"/>
        <item x="9"/>
        <item x="2"/>
        <item x="7"/>
        <item x="0"/>
        <item x="4"/>
        <item x="3"/>
        <item x="5"/>
        <item x="1"/>
        <item x="12"/>
        <item x="8"/>
        <item t="default"/>
      </items>
    </pivotField>
    <pivotField numFmtId="14" showAll="0"/>
    <pivotField numFmtId="14" showAll="0"/>
    <pivotField showAll="0"/>
    <pivotField axis="axisRow" dataField="1" showAll="0">
      <items count="19">
        <item x="2"/>
        <item h="1" x="4"/>
        <item x="10"/>
        <item h="1" x="6"/>
        <item h="1" x="13"/>
        <item x="15"/>
        <item x="14"/>
        <item x="7"/>
        <item x="16"/>
        <item x="3"/>
        <item x="9"/>
        <item x="17"/>
        <item x="1"/>
        <item x="11"/>
        <item x="0"/>
        <item x="5"/>
        <item x="12"/>
        <item x="8"/>
        <item t="default"/>
      </items>
    </pivotField>
    <pivotField showAll="0"/>
    <pivotField showAll="0"/>
    <pivotField showAll="0"/>
    <pivotField showAll="0"/>
    <pivotField showAll="0"/>
    <pivotField showAll="0">
      <items count="15">
        <item x="5"/>
        <item x="9"/>
        <item x="0"/>
        <item x="8"/>
        <item x="3"/>
        <item x="10"/>
        <item x="11"/>
        <item x="1"/>
        <item x="2"/>
        <item x="13"/>
        <item x="4"/>
        <item x="7"/>
        <item x="6"/>
        <item x="12"/>
        <item t="default"/>
      </items>
    </pivotField>
    <pivotField showAll="0"/>
    <pivotField dataField="1" showAll="0"/>
    <pivotField showAll="0"/>
    <pivotField showAll="0">
      <items count="4">
        <item h="1" x="1"/>
        <item x="2"/>
        <item x="0"/>
        <item t="default"/>
      </items>
    </pivotField>
    <pivotField showAll="0">
      <items count="3">
        <item x="1"/>
        <item x="0"/>
        <item t="default"/>
      </items>
    </pivotField>
  </pivotFields>
  <rowFields count="1">
    <field x="9"/>
  </rowFields>
  <rowItems count="14">
    <i>
      <x/>
    </i>
    <i>
      <x v="5"/>
    </i>
    <i>
      <x v="7"/>
    </i>
    <i>
      <x v="8"/>
    </i>
    <i>
      <x v="9"/>
    </i>
    <i>
      <x v="10"/>
    </i>
    <i>
      <x v="11"/>
    </i>
    <i>
      <x v="12"/>
    </i>
    <i>
      <x v="13"/>
    </i>
    <i>
      <x v="14"/>
    </i>
    <i>
      <x v="15"/>
    </i>
    <i>
      <x v="16"/>
    </i>
    <i>
      <x v="17"/>
    </i>
    <i t="grand">
      <x/>
    </i>
  </rowItems>
  <colFields count="1">
    <field x="-2"/>
  </colFields>
  <colItems count="2">
    <i>
      <x/>
    </i>
    <i i="1">
      <x v="1"/>
    </i>
  </colItems>
  <dataFields count="2">
    <dataField name="Count of Genre" fld="9" subtotal="count" baseField="0" baseItem="0"/>
    <dataField name="Average of imdb_rating" fld="17" subtotal="average" baseField="9" baseItem="10"/>
  </dataFields>
  <formats count="18">
    <format dxfId="17">
      <pivotArea type="all" dataOnly="0" outline="0" fieldPosition="0"/>
    </format>
    <format dxfId="16">
      <pivotArea outline="0" collapsedLevelsAreSubtotals="1" fieldPosition="0"/>
    </format>
    <format dxfId="15">
      <pivotArea field="9" type="button" dataOnly="0" labelOnly="1" outline="0" axis="axisRow" fieldPosition="0"/>
    </format>
    <format dxfId="14">
      <pivotArea dataOnly="0" labelOnly="1" fieldPosition="0">
        <references count="1">
          <reference field="9"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field="9" type="button" dataOnly="0" labelOnly="1" outline="0" axis="axisRow" fieldPosition="0"/>
    </format>
    <format dxfId="8">
      <pivotArea dataOnly="0" labelOnly="1" fieldPosition="0">
        <references count="1">
          <reference field="9"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9" type="button" dataOnly="0" labelOnly="1" outline="0" axis="axisRow" fieldPosition="0"/>
    </format>
    <format dxfId="2">
      <pivotArea dataOnly="0" labelOnly="1" fieldPosition="0">
        <references count="1">
          <reference field="9"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242A07-EDDC-4BD6-9BBA-C02949300DBA}" autoFormatId="16" applyNumberFormats="0" applyBorderFormats="0" applyFontFormats="0" applyPatternFormats="0" applyAlignmentFormats="0" applyWidthHeightFormats="0">
  <queryTableRefresh nextId="21">
    <queryTableFields count="20">
      <queryTableField id="1" name="imdb_id" tableColumnId="1"/>
      <queryTableField id="2" name="Title" tableColumnId="2"/>
      <queryTableField id="3" name="Plot" tableColumnId="3"/>
      <queryTableField id="4" name="Type" tableColumnId="4"/>
      <queryTableField id="5" name="Rated" tableColumnId="5"/>
      <queryTableField id="6" name="Year" tableColumnId="6"/>
      <queryTableField id="7" name="Released_at" tableColumnId="7"/>
      <queryTableField id="8" name="Added_at" tableColumnId="8"/>
      <queryTableField id="9" name="Runtime" tableColumnId="9"/>
      <queryTableField id="10" name="Genre" tableColumnId="10"/>
      <queryTableField id="11" name="Director" tableColumnId="11"/>
      <queryTableField id="12" name="Writer" tableColumnId="12"/>
      <queryTableField id="13" name="Actors" tableColumnId="13"/>
      <queryTableField id="14" name="Language" tableColumnId="14"/>
      <queryTableField id="15" name="Country" tableColumnId="15"/>
      <queryTableField id="16" name="Awards" tableColumnId="16"/>
      <queryTableField id="17" name="Metascore" tableColumnId="17"/>
      <queryTableField id="18" name="imdb_rating" tableColumnId="18"/>
      <queryTableField id="19" name="imdb_votes" tableColumnId="19"/>
      <queryTableField id="20" name="Rating statu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F05F174-BDC3-44FB-9F89-58D23994B418}" sourceName="Year">
  <pivotTables>
    <pivotTable tabId="3" name="PivotTable3"/>
    <pivotTable tabId="1" name="PivotTable1"/>
    <pivotTable tabId="3" name="PivotTable1"/>
    <pivotTable tabId="4" name="PivotTable4"/>
    <pivotTable tabId="5" name="PivotTable5"/>
    <pivotTable tabId="7" name="PivotTable1"/>
  </pivotTables>
  <data>
    <tabular pivotCacheId="1955952936">
      <items count="16">
        <i x="10" s="1"/>
        <i x="15" s="1"/>
        <i x="13" s="1"/>
        <i x="14" s="1"/>
        <i x="9" s="1"/>
        <i x="2" s="1"/>
        <i x="7" s="1"/>
        <i x="0" s="1"/>
        <i x="3" s="1"/>
        <i x="5" s="1"/>
        <i x="1" s="1"/>
        <i x="12" s="1"/>
        <i x="8" s="1"/>
        <i x="6" s="1" nd="1"/>
        <i x="11"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DEBCA2B9-C65E-4552-8DDE-BADB896A57BF}" sourceName="Genre">
  <pivotTables>
    <pivotTable tabId="3" name="PivotTable3"/>
    <pivotTable tabId="1" name="PivotTable1"/>
    <pivotTable tabId="3" name="PivotTable1"/>
    <pivotTable tabId="4" name="PivotTable4"/>
    <pivotTable tabId="5" name="PivotTable5"/>
    <pivotTable tabId="7" name="PivotTable1"/>
  </pivotTables>
  <data>
    <tabular pivotCacheId="1955952936">
      <items count="18">
        <i x="2" s="1"/>
        <i x="6"/>
        <i x="13"/>
        <i x="15" s="1"/>
        <i x="7" s="1"/>
        <i x="16" s="1"/>
        <i x="3" s="1"/>
        <i x="9" s="1"/>
        <i x="17" s="1"/>
        <i x="1" s="1"/>
        <i x="11" s="1"/>
        <i x="0" s="1"/>
        <i x="5" s="1"/>
        <i x="12" s="1"/>
        <i x="8" s="1"/>
        <i x="4" nd="1"/>
        <i x="10" s="1" nd="1"/>
        <i x="1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status" xr10:uid="{8DC25513-1EAC-4A65-8603-AE3805551636}" sourceName="Rating status">
  <pivotTables>
    <pivotTable tabId="3" name="PivotTable3"/>
    <pivotTable tabId="1" name="PivotTable1"/>
    <pivotTable tabId="3" name="PivotTable1"/>
    <pivotTable tabId="4" name="PivotTable4"/>
    <pivotTable tabId="5" name="PivotTable5"/>
    <pivotTable tabId="7" name="PivotTable1"/>
  </pivotTables>
  <data>
    <tabular pivotCacheId="1955952936">
      <items count="3">
        <i x="1"/>
        <i x="2"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DA63F46-058F-47E3-8E5A-33C0A9832D46}" cache="Slicer_Year" caption="Year" rowHeight="247650"/>
  <slicer name="Genre 1" xr10:uid="{E75C0BA8-921D-4D51-9348-ABEF1D3AC505}" cache="Slicer_Genre1" caption="Genre" rowHeight="247650"/>
  <slicer name="Rating status" xr10:uid="{974D3420-729C-4738-B314-17E64818E700}" cache="Slicer_Rating_status" caption="Rating 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A2ADAB75-B623-4013-975B-A778EC448E1B}" cache="Slicer_Genre1" caption="Genre" startItem="10" style="SlicerStyleLigh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DDAC21-AACE-4EC7-97F1-8FF656338EB7}" name="disney_plus_shows11" displayName="disney_plus_shows11" ref="A1:T21" tableType="queryTable" totalsRowShown="0">
  <autoFilter ref="A1:T21" xr:uid="{99DDAC21-AACE-4EC7-97F1-8FF656338EB7}"/>
  <tableColumns count="20">
    <tableColumn id="1" xr3:uid="{8120C124-041D-407D-9642-9B2C0839FFF2}" uniqueName="1" name="imdb_id" queryTableFieldId="1" dataDxfId="32"/>
    <tableColumn id="2" xr3:uid="{91FD0576-4DA8-4FEC-8403-98DD58BB11C2}" uniqueName="2" name="Title" queryTableFieldId="2" dataDxfId="31"/>
    <tableColumn id="3" xr3:uid="{ACB24103-04E2-4E7C-A3D8-CA08D88F468C}" uniqueName="3" name="Plot" queryTableFieldId="3" dataDxfId="30"/>
    <tableColumn id="4" xr3:uid="{DC2E8495-D940-4711-B1B1-916C95D54288}" uniqueName="4" name="Type" queryTableFieldId="4" dataDxfId="29"/>
    <tableColumn id="5" xr3:uid="{32C26773-7DDA-40EF-9FC9-983BB3334D0C}" uniqueName="5" name="Rated" queryTableFieldId="5" dataDxfId="28"/>
    <tableColumn id="6" xr3:uid="{4D12AC1D-2219-469E-81E2-3C8FE5B5EFBB}" uniqueName="6" name="Year" queryTableFieldId="6"/>
    <tableColumn id="7" xr3:uid="{A30F51A5-7DF4-423A-A7D2-D27A997C15BF}" uniqueName="7" name="Released_at" queryTableFieldId="7" dataDxfId="27"/>
    <tableColumn id="8" xr3:uid="{1D203E15-0B4C-42C9-ADC2-1E2FC7A2F5EF}" uniqueName="8" name="Added_at" queryTableFieldId="8" dataDxfId="26"/>
    <tableColumn id="9" xr3:uid="{0BB423E3-9B6C-4DBD-9796-B4D8A33AE6A6}" uniqueName="9" name="Runtime" queryTableFieldId="9"/>
    <tableColumn id="10" xr3:uid="{0A84D049-008F-455A-9F58-8ABB1FD92E57}" uniqueName="10" name="Genre" queryTableFieldId="10" dataDxfId="25"/>
    <tableColumn id="11" xr3:uid="{1C028A76-0A1B-4115-9FE7-AAA62B072D7B}" uniqueName="11" name="Director" queryTableFieldId="11" dataDxfId="24"/>
    <tableColumn id="12" xr3:uid="{A437459A-D6FF-4FEF-815F-F4A062522831}" uniqueName="12" name="Writer" queryTableFieldId="12" dataDxfId="23"/>
    <tableColumn id="13" xr3:uid="{663AB882-6894-4E1E-AF12-A0E6B583E753}" uniqueName="13" name="Actors" queryTableFieldId="13" dataDxfId="22"/>
    <tableColumn id="14" xr3:uid="{A6A72552-95FA-4A69-9BCC-B10C3E97C42B}" uniqueName="14" name="Language" queryTableFieldId="14" dataDxfId="21"/>
    <tableColumn id="15" xr3:uid="{6D13B0B9-187B-480B-9AC4-37EBE7E1ED39}" uniqueName="15" name="Country" queryTableFieldId="15" dataDxfId="20"/>
    <tableColumn id="16" xr3:uid="{E11F1B50-B43A-4627-9A1C-A3EEB16DE874}" uniqueName="16" name="Awards" queryTableFieldId="16" dataDxfId="19"/>
    <tableColumn id="17" xr3:uid="{0D619779-A99E-40AD-85BA-FC479F749E44}" uniqueName="17" name="Metascore" queryTableFieldId="17"/>
    <tableColumn id="18" xr3:uid="{7469B494-903D-4E73-A20F-DDD03D6B9619}" uniqueName="18" name="imdb_rating" queryTableFieldId="18"/>
    <tableColumn id="19" xr3:uid="{3843E93F-8BC2-4DD4-9AB1-E924EE103761}" uniqueName="19" name="imdb_votes" queryTableFieldId="19"/>
    <tableColumn id="20" xr3:uid="{27FF9CD9-8F9C-4427-AC3E-34474DE9E1AF}" uniqueName="20" name="Rating status" queryTableFieldId="20"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3E778-C5E1-456E-B6DF-AE7C174D376D}">
  <dimension ref="B2:D18"/>
  <sheetViews>
    <sheetView workbookViewId="0">
      <selection activeCell="D5" sqref="D5"/>
    </sheetView>
  </sheetViews>
  <sheetFormatPr defaultRowHeight="14.4" x14ac:dyDescent="0.3"/>
  <cols>
    <col min="2" max="2" width="30.88671875" bestFit="1" customWidth="1"/>
    <col min="3" max="3" width="20" bestFit="1" customWidth="1"/>
  </cols>
  <sheetData>
    <row r="2" spans="2:4" ht="18" x14ac:dyDescent="0.35">
      <c r="B2" s="4" t="s">
        <v>192</v>
      </c>
    </row>
    <row r="4" spans="2:4" x14ac:dyDescent="0.3">
      <c r="C4" s="8" t="s">
        <v>200</v>
      </c>
    </row>
    <row r="5" spans="2:4" ht="18" x14ac:dyDescent="0.35">
      <c r="B5" s="2"/>
      <c r="C5" s="8">
        <v>15</v>
      </c>
      <c r="D5" s="11">
        <f>GETPIVOTDATA("Title",$C$4)</f>
        <v>15</v>
      </c>
    </row>
    <row r="6" spans="2:4" ht="18" x14ac:dyDescent="0.35">
      <c r="B6" s="2"/>
    </row>
    <row r="7" spans="2:4" x14ac:dyDescent="0.3">
      <c r="B7" s="8" t="s">
        <v>187</v>
      </c>
      <c r="C7" s="8" t="s">
        <v>190</v>
      </c>
    </row>
    <row r="8" spans="2:4" x14ac:dyDescent="0.3">
      <c r="B8" s="9" t="s">
        <v>21</v>
      </c>
      <c r="C8" s="8">
        <v>7.3</v>
      </c>
    </row>
    <row r="9" spans="2:4" x14ac:dyDescent="0.3">
      <c r="B9" s="9" t="s">
        <v>34</v>
      </c>
      <c r="C9" s="8">
        <v>6.2</v>
      </c>
    </row>
    <row r="10" spans="2:4" x14ac:dyDescent="0.3">
      <c r="B10" s="9" t="s">
        <v>74</v>
      </c>
      <c r="C10" s="8">
        <v>6.3</v>
      </c>
    </row>
    <row r="11" spans="2:4" x14ac:dyDescent="0.3">
      <c r="B11" s="9" t="s">
        <v>91</v>
      </c>
      <c r="C11" s="8">
        <v>7.2</v>
      </c>
    </row>
    <row r="12" spans="2:4" x14ac:dyDescent="0.3">
      <c r="B12" s="9" t="s">
        <v>99</v>
      </c>
      <c r="C12" s="8">
        <v>7.6</v>
      </c>
    </row>
    <row r="13" spans="2:4" x14ac:dyDescent="0.3">
      <c r="B13" s="9" t="s">
        <v>104</v>
      </c>
      <c r="C13" s="8">
        <v>6.8</v>
      </c>
    </row>
    <row r="14" spans="2:4" x14ac:dyDescent="0.3">
      <c r="B14" s="9" t="s">
        <v>120</v>
      </c>
      <c r="C14" s="8">
        <v>7</v>
      </c>
    </row>
    <row r="15" spans="2:4" x14ac:dyDescent="0.3">
      <c r="B15" s="9" t="s">
        <v>151</v>
      </c>
      <c r="C15" s="8">
        <v>7.5</v>
      </c>
    </row>
    <row r="16" spans="2:4" x14ac:dyDescent="0.3">
      <c r="B16" s="9" t="s">
        <v>168</v>
      </c>
      <c r="C16" s="8">
        <v>6.4</v>
      </c>
    </row>
    <row r="17" spans="2:3" x14ac:dyDescent="0.3">
      <c r="B17" s="9" t="s">
        <v>180</v>
      </c>
      <c r="C17" s="8">
        <v>7.4</v>
      </c>
    </row>
    <row r="18" spans="2:3" x14ac:dyDescent="0.3">
      <c r="B18" s="9" t="s">
        <v>188</v>
      </c>
      <c r="C18" s="8">
        <v>7.0181818181818185</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AADD-6456-471A-B9E8-5FED1339EC83}">
  <dimension ref="B2:E18"/>
  <sheetViews>
    <sheetView workbookViewId="0">
      <selection activeCell="A3" sqref="A3"/>
    </sheetView>
  </sheetViews>
  <sheetFormatPr defaultRowHeight="14.4" x14ac:dyDescent="0.3"/>
  <cols>
    <col min="2" max="2" width="12.44140625" bestFit="1" customWidth="1"/>
    <col min="3" max="3" width="15.5546875" bestFit="1" customWidth="1"/>
    <col min="4" max="4" width="5.44140625" bestFit="1" customWidth="1"/>
    <col min="5" max="6" width="10.5546875" bestFit="1" customWidth="1"/>
  </cols>
  <sheetData>
    <row r="2" spans="2:5" ht="18" x14ac:dyDescent="0.35">
      <c r="B2" s="4" t="s">
        <v>195</v>
      </c>
    </row>
    <row r="3" spans="2:5" x14ac:dyDescent="0.3">
      <c r="B3" s="8" t="s">
        <v>193</v>
      </c>
      <c r="C3" s="8" t="s">
        <v>194</v>
      </c>
      <c r="D3" s="8"/>
      <c r="E3" s="8"/>
    </row>
    <row r="4" spans="2:5" x14ac:dyDescent="0.3">
      <c r="B4" s="8" t="s">
        <v>187</v>
      </c>
      <c r="C4" s="8" t="s">
        <v>166</v>
      </c>
      <c r="D4" s="8" t="s">
        <v>32</v>
      </c>
      <c r="E4" s="8" t="s">
        <v>188</v>
      </c>
    </row>
    <row r="5" spans="2:5" x14ac:dyDescent="0.3">
      <c r="B5" s="9">
        <v>1946</v>
      </c>
      <c r="C5" s="8"/>
      <c r="D5" s="8">
        <v>1</v>
      </c>
      <c r="E5" s="8">
        <v>1</v>
      </c>
    </row>
    <row r="6" spans="2:5" x14ac:dyDescent="0.3">
      <c r="B6" s="9">
        <v>1951</v>
      </c>
      <c r="C6" s="8"/>
      <c r="D6" s="8">
        <v>1</v>
      </c>
      <c r="E6" s="8">
        <v>1</v>
      </c>
    </row>
    <row r="7" spans="2:5" x14ac:dyDescent="0.3">
      <c r="B7" s="9">
        <v>1992</v>
      </c>
      <c r="C7" s="8">
        <v>1</v>
      </c>
      <c r="D7" s="8"/>
      <c r="E7" s="8">
        <v>1</v>
      </c>
    </row>
    <row r="8" spans="2:5" x14ac:dyDescent="0.3">
      <c r="B8" s="9">
        <v>1994</v>
      </c>
      <c r="C8" s="8"/>
      <c r="D8" s="8">
        <v>1</v>
      </c>
      <c r="E8" s="8">
        <v>1</v>
      </c>
    </row>
    <row r="9" spans="2:5" x14ac:dyDescent="0.3">
      <c r="B9" s="9">
        <v>1995</v>
      </c>
      <c r="C9" s="8"/>
      <c r="D9" s="8">
        <v>1</v>
      </c>
      <c r="E9" s="8">
        <v>1</v>
      </c>
    </row>
    <row r="10" spans="2:5" x14ac:dyDescent="0.3">
      <c r="B10" s="9">
        <v>1996</v>
      </c>
      <c r="C10" s="8"/>
      <c r="D10" s="8">
        <v>2</v>
      </c>
      <c r="E10" s="8">
        <v>2</v>
      </c>
    </row>
    <row r="11" spans="2:5" x14ac:dyDescent="0.3">
      <c r="B11" s="9">
        <v>1998</v>
      </c>
      <c r="C11" s="8"/>
      <c r="D11" s="8">
        <v>1</v>
      </c>
      <c r="E11" s="8">
        <v>1</v>
      </c>
    </row>
    <row r="12" spans="2:5" x14ac:dyDescent="0.3">
      <c r="B12" s="9">
        <v>1999</v>
      </c>
      <c r="C12" s="8"/>
      <c r="D12" s="8">
        <v>1</v>
      </c>
      <c r="E12" s="8">
        <v>1</v>
      </c>
    </row>
    <row r="13" spans="2:5" x14ac:dyDescent="0.3">
      <c r="B13" s="9">
        <v>2002</v>
      </c>
      <c r="C13" s="8"/>
      <c r="D13" s="8">
        <v>2</v>
      </c>
      <c r="E13" s="8">
        <v>2</v>
      </c>
    </row>
    <row r="14" spans="2:5" x14ac:dyDescent="0.3">
      <c r="B14" s="9">
        <v>2011</v>
      </c>
      <c r="C14" s="8"/>
      <c r="D14" s="8">
        <v>1</v>
      </c>
      <c r="E14" s="8">
        <v>1</v>
      </c>
    </row>
    <row r="15" spans="2:5" x14ac:dyDescent="0.3">
      <c r="B15" s="9">
        <v>2018</v>
      </c>
      <c r="C15" s="8"/>
      <c r="D15" s="8">
        <v>1</v>
      </c>
      <c r="E15" s="8">
        <v>1</v>
      </c>
    </row>
    <row r="16" spans="2:5" x14ac:dyDescent="0.3">
      <c r="B16" s="9">
        <v>2019</v>
      </c>
      <c r="C16" s="8"/>
      <c r="D16" s="8">
        <v>1</v>
      </c>
      <c r="E16" s="8">
        <v>1</v>
      </c>
    </row>
    <row r="17" spans="2:5" x14ac:dyDescent="0.3">
      <c r="B17" s="9">
        <v>2020</v>
      </c>
      <c r="C17" s="8"/>
      <c r="D17" s="8">
        <v>1</v>
      </c>
      <c r="E17" s="8">
        <v>1</v>
      </c>
    </row>
    <row r="18" spans="2:5" x14ac:dyDescent="0.3">
      <c r="B18" s="9" t="s">
        <v>188</v>
      </c>
      <c r="C18" s="8">
        <v>1</v>
      </c>
      <c r="D18" s="8">
        <v>14</v>
      </c>
      <c r="E18" s="8">
        <v>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EDFB-CA2C-4DC9-ACB8-67A057E0209D}">
  <dimension ref="B2:C24"/>
  <sheetViews>
    <sheetView workbookViewId="0">
      <selection activeCell="C24" sqref="C24"/>
    </sheetView>
  </sheetViews>
  <sheetFormatPr defaultRowHeight="14.4" x14ac:dyDescent="0.3"/>
  <cols>
    <col min="2" max="2" width="36.88671875" bestFit="1" customWidth="1"/>
    <col min="3" max="3" width="20" bestFit="1" customWidth="1"/>
  </cols>
  <sheetData>
    <row r="2" spans="2:3" ht="18" x14ac:dyDescent="0.35">
      <c r="B2" s="4" t="s">
        <v>199</v>
      </c>
    </row>
    <row r="3" spans="2:3" x14ac:dyDescent="0.3">
      <c r="B3" s="8" t="s">
        <v>187</v>
      </c>
      <c r="C3" s="8" t="s">
        <v>190</v>
      </c>
    </row>
    <row r="4" spans="2:3" x14ac:dyDescent="0.3">
      <c r="B4" s="9" t="s">
        <v>21</v>
      </c>
      <c r="C4" s="8">
        <v>7.3</v>
      </c>
    </row>
    <row r="5" spans="2:3" x14ac:dyDescent="0.3">
      <c r="B5" s="9" t="s">
        <v>34</v>
      </c>
      <c r="C5" s="8">
        <v>6.2</v>
      </c>
    </row>
    <row r="6" spans="2:3" x14ac:dyDescent="0.3">
      <c r="B6" s="9" t="s">
        <v>46</v>
      </c>
      <c r="C6" s="8">
        <v>5.7</v>
      </c>
    </row>
    <row r="7" spans="2:3" x14ac:dyDescent="0.3">
      <c r="B7" s="9" t="s">
        <v>57</v>
      </c>
      <c r="C7" s="8">
        <v>5.8</v>
      </c>
    </row>
    <row r="8" spans="2:3" x14ac:dyDescent="0.3">
      <c r="B8" s="9" t="s">
        <v>74</v>
      </c>
      <c r="C8" s="8">
        <v>6.3</v>
      </c>
    </row>
    <row r="9" spans="2:3" x14ac:dyDescent="0.3">
      <c r="B9" s="9" t="s">
        <v>91</v>
      </c>
      <c r="C9" s="8">
        <v>7.2</v>
      </c>
    </row>
    <row r="10" spans="2:3" x14ac:dyDescent="0.3">
      <c r="B10" s="9" t="s">
        <v>99</v>
      </c>
      <c r="C10" s="8">
        <v>7.6</v>
      </c>
    </row>
    <row r="11" spans="2:3" x14ac:dyDescent="0.3">
      <c r="B11" s="9" t="s">
        <v>104</v>
      </c>
      <c r="C11" s="8">
        <v>6.8</v>
      </c>
    </row>
    <row r="12" spans="2:3" x14ac:dyDescent="0.3">
      <c r="B12" s="9" t="s">
        <v>120</v>
      </c>
      <c r="C12" s="8">
        <v>7</v>
      </c>
    </row>
    <row r="13" spans="2:3" x14ac:dyDescent="0.3">
      <c r="B13" s="9" t="s">
        <v>128</v>
      </c>
      <c r="C13" s="8">
        <v>6.1</v>
      </c>
    </row>
    <row r="14" spans="2:3" x14ac:dyDescent="0.3">
      <c r="B14" s="9" t="s">
        <v>151</v>
      </c>
      <c r="C14" s="8">
        <v>7.5</v>
      </c>
    </row>
    <row r="15" spans="2:3" x14ac:dyDescent="0.3">
      <c r="B15" s="9" t="s">
        <v>168</v>
      </c>
      <c r="C15" s="8">
        <v>6.4</v>
      </c>
    </row>
    <row r="16" spans="2:3" x14ac:dyDescent="0.3">
      <c r="B16" s="9" t="s">
        <v>174</v>
      </c>
      <c r="C16" s="8">
        <v>5.9</v>
      </c>
    </row>
    <row r="17" spans="2:3" x14ac:dyDescent="0.3">
      <c r="B17" s="9" t="s">
        <v>180</v>
      </c>
      <c r="C17" s="8">
        <v>7.4</v>
      </c>
    </row>
    <row r="18" spans="2:3" x14ac:dyDescent="0.3">
      <c r="B18" s="9" t="s">
        <v>188</v>
      </c>
      <c r="C18" s="8">
        <v>6.7133333333333347</v>
      </c>
    </row>
    <row r="24" spans="2:3" x14ac:dyDescent="0.3">
      <c r="C24" s="10">
        <f>GETPIVOTDATA("imdb_rating",$B$3)</f>
        <v>6.7133333333333347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142E-58F0-4D76-851E-5502915E1171}">
  <dimension ref="B1:C20"/>
  <sheetViews>
    <sheetView workbookViewId="0">
      <selection activeCell="B4" sqref="B4"/>
    </sheetView>
  </sheetViews>
  <sheetFormatPr defaultRowHeight="14.4" x14ac:dyDescent="0.3"/>
  <cols>
    <col min="2" max="2" width="55.44140625" bestFit="1" customWidth="1"/>
    <col min="3" max="3" width="14.33203125" bestFit="1" customWidth="1"/>
  </cols>
  <sheetData>
    <row r="1" spans="2:3" ht="18" x14ac:dyDescent="0.35">
      <c r="B1" s="4" t="s">
        <v>197</v>
      </c>
    </row>
    <row r="3" spans="2:3" x14ac:dyDescent="0.3">
      <c r="B3" s="3"/>
      <c r="C3" s="3"/>
    </row>
    <row r="4" spans="2:3" x14ac:dyDescent="0.3">
      <c r="B4" s="5" t="s">
        <v>187</v>
      </c>
      <c r="C4" s="5" t="s">
        <v>196</v>
      </c>
    </row>
    <row r="5" spans="2:3" x14ac:dyDescent="0.3">
      <c r="B5" s="6" t="s">
        <v>198</v>
      </c>
      <c r="C5" s="5">
        <v>12</v>
      </c>
    </row>
    <row r="6" spans="2:3" x14ac:dyDescent="0.3">
      <c r="B6" s="7" t="s">
        <v>81</v>
      </c>
      <c r="C6" s="5">
        <v>2</v>
      </c>
    </row>
    <row r="7" spans="2:3" x14ac:dyDescent="0.3">
      <c r="B7" s="7" t="s">
        <v>135</v>
      </c>
      <c r="C7" s="5">
        <v>2</v>
      </c>
    </row>
    <row r="8" spans="2:3" x14ac:dyDescent="0.3">
      <c r="B8" s="7" t="s">
        <v>31</v>
      </c>
      <c r="C8" s="5">
        <v>1</v>
      </c>
    </row>
    <row r="9" spans="2:3" x14ac:dyDescent="0.3">
      <c r="B9" s="7" t="s">
        <v>110</v>
      </c>
      <c r="C9" s="5">
        <v>1</v>
      </c>
    </row>
    <row r="10" spans="2:3" x14ac:dyDescent="0.3">
      <c r="B10" s="7" t="s">
        <v>63</v>
      </c>
      <c r="C10" s="5">
        <v>1</v>
      </c>
    </row>
    <row r="11" spans="2:3" x14ac:dyDescent="0.3">
      <c r="B11" s="7" t="s">
        <v>158</v>
      </c>
      <c r="C11" s="5">
        <v>1</v>
      </c>
    </row>
    <row r="12" spans="2:3" x14ac:dyDescent="0.3">
      <c r="B12" s="7" t="s">
        <v>55</v>
      </c>
      <c r="C12" s="5">
        <v>1</v>
      </c>
    </row>
    <row r="13" spans="2:3" x14ac:dyDescent="0.3">
      <c r="B13" s="7" t="s">
        <v>186</v>
      </c>
      <c r="C13" s="5">
        <v>1</v>
      </c>
    </row>
    <row r="14" spans="2:3" x14ac:dyDescent="0.3">
      <c r="B14" s="7" t="s">
        <v>97</v>
      </c>
      <c r="C14" s="5">
        <v>1</v>
      </c>
    </row>
    <row r="15" spans="2:3" x14ac:dyDescent="0.3">
      <c r="B15" s="7" t="s">
        <v>165</v>
      </c>
      <c r="C15" s="5">
        <v>1</v>
      </c>
    </row>
    <row r="16" spans="2:3" x14ac:dyDescent="0.3">
      <c r="B16" s="6" t="s">
        <v>188</v>
      </c>
      <c r="C16" s="5">
        <v>12</v>
      </c>
    </row>
    <row r="20" spans="3:3" x14ac:dyDescent="0.3">
      <c r="C20" s="10">
        <f>GETPIVOTDATA("Awards",$B$4)</f>
        <v>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BC59-B51E-430E-8E47-47F885104621}">
  <dimension ref="A1"/>
  <sheetViews>
    <sheetView showGridLines="0" tabSelected="1" workbookViewId="0">
      <selection activeCell="O9" sqref="O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18466-7C16-45E5-AC3D-BC3A5DB451CF}">
  <dimension ref="A1:T21"/>
  <sheetViews>
    <sheetView workbookViewId="0">
      <selection activeCell="C24" sqref="C24"/>
    </sheetView>
  </sheetViews>
  <sheetFormatPr defaultRowHeight="14.4" x14ac:dyDescent="0.3"/>
  <cols>
    <col min="1" max="1" width="10.109375" bestFit="1" customWidth="1"/>
    <col min="2" max="2" width="36.88671875" bestFit="1" customWidth="1"/>
    <col min="3" max="3" width="80.88671875" bestFit="1" customWidth="1"/>
    <col min="4" max="4" width="7.109375" bestFit="1" customWidth="1"/>
    <col min="5" max="5" width="10.109375" bestFit="1" customWidth="1"/>
    <col min="6" max="6" width="6.88671875" bestFit="1" customWidth="1"/>
    <col min="7" max="7" width="13.33203125" bestFit="1" customWidth="1"/>
    <col min="8" max="8" width="11.109375" bestFit="1" customWidth="1"/>
    <col min="9" max="9" width="10.21875" bestFit="1" customWidth="1"/>
    <col min="10" max="10" width="55.6640625" bestFit="1" customWidth="1"/>
    <col min="11" max="11" width="40.6640625" bestFit="1" customWidth="1"/>
    <col min="12" max="12" width="80.88671875" bestFit="1" customWidth="1"/>
    <col min="13" max="13" width="54.77734375" bestFit="1" customWidth="1"/>
    <col min="14" max="14" width="14" bestFit="1" customWidth="1"/>
    <col min="15" max="15" width="26.44140625" bestFit="1" customWidth="1"/>
    <col min="16" max="16" width="52.33203125" bestFit="1" customWidth="1"/>
    <col min="17" max="17" width="11.88671875" bestFit="1" customWidth="1"/>
    <col min="18" max="18" width="13.21875" bestFit="1" customWidth="1"/>
    <col min="19" max="19" width="12.88671875" bestFit="1" customWidth="1"/>
    <col min="20" max="20" width="13.88671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v>1999</v>
      </c>
      <c r="G2" s="1">
        <v>36250</v>
      </c>
      <c r="H2" s="1">
        <v>43781</v>
      </c>
      <c r="I2">
        <v>97</v>
      </c>
      <c r="J2" t="s">
        <v>25</v>
      </c>
      <c r="K2" t="s">
        <v>26</v>
      </c>
      <c r="L2" t="s">
        <v>27</v>
      </c>
      <c r="M2" t="s">
        <v>28</v>
      </c>
      <c r="N2" t="s">
        <v>29</v>
      </c>
      <c r="O2" t="s">
        <v>30</v>
      </c>
      <c r="P2" t="s">
        <v>31</v>
      </c>
      <c r="Q2">
        <v>70</v>
      </c>
      <c r="R2">
        <v>7.3</v>
      </c>
      <c r="S2">
        <v>283945</v>
      </c>
      <c r="T2" t="s">
        <v>32</v>
      </c>
    </row>
    <row r="3" spans="1:20" x14ac:dyDescent="0.3">
      <c r="A3" t="s">
        <v>33</v>
      </c>
      <c r="B3" t="s">
        <v>34</v>
      </c>
      <c r="C3" t="s">
        <v>35</v>
      </c>
      <c r="D3" t="s">
        <v>36</v>
      </c>
      <c r="E3" t="s">
        <v>37</v>
      </c>
      <c r="F3">
        <v>2018</v>
      </c>
      <c r="G3" s="1">
        <v>43549</v>
      </c>
      <c r="H3" s="1">
        <v>43889</v>
      </c>
      <c r="I3">
        <v>0</v>
      </c>
      <c r="J3" t="s">
        <v>38</v>
      </c>
      <c r="K3" t="s">
        <v>39</v>
      </c>
      <c r="L3" t="s">
        <v>40</v>
      </c>
      <c r="M3" t="s">
        <v>41</v>
      </c>
      <c r="N3" t="s">
        <v>42</v>
      </c>
      <c r="O3" t="s">
        <v>43</v>
      </c>
      <c r="P3" t="s">
        <v>44</v>
      </c>
      <c r="Q3">
        <v>0</v>
      </c>
      <c r="R3">
        <v>6.2</v>
      </c>
      <c r="S3">
        <v>124</v>
      </c>
      <c r="T3" t="s">
        <v>32</v>
      </c>
    </row>
    <row r="4" spans="1:20" x14ac:dyDescent="0.3">
      <c r="A4" t="s">
        <v>45</v>
      </c>
      <c r="B4" t="s">
        <v>46</v>
      </c>
      <c r="C4" t="s">
        <v>47</v>
      </c>
      <c r="D4" t="s">
        <v>23</v>
      </c>
      <c r="E4" t="s">
        <v>48</v>
      </c>
      <c r="F4">
        <v>1996</v>
      </c>
      <c r="G4" s="1">
        <v>35396</v>
      </c>
      <c r="H4" s="1">
        <v>43781</v>
      </c>
      <c r="I4">
        <v>103</v>
      </c>
      <c r="J4" t="s">
        <v>49</v>
      </c>
      <c r="K4" t="s">
        <v>50</v>
      </c>
      <c r="L4" t="s">
        <v>51</v>
      </c>
      <c r="M4" t="s">
        <v>52</v>
      </c>
      <c r="N4" t="s">
        <v>53</v>
      </c>
      <c r="O4" t="s">
        <v>54</v>
      </c>
      <c r="P4" t="s">
        <v>55</v>
      </c>
      <c r="Q4">
        <v>49</v>
      </c>
      <c r="R4">
        <v>5.7</v>
      </c>
      <c r="S4">
        <v>97785</v>
      </c>
      <c r="T4" t="s">
        <v>32</v>
      </c>
    </row>
    <row r="5" spans="1:20" x14ac:dyDescent="0.3">
      <c r="A5" t="s">
        <v>56</v>
      </c>
      <c r="B5" t="s">
        <v>57</v>
      </c>
      <c r="C5" t="s">
        <v>58</v>
      </c>
      <c r="D5" t="s">
        <v>23</v>
      </c>
      <c r="E5" t="s">
        <v>48</v>
      </c>
      <c r="F5">
        <v>2002</v>
      </c>
      <c r="G5" s="1">
        <v>37642</v>
      </c>
      <c r="H5" s="1">
        <v>43781</v>
      </c>
      <c r="I5">
        <v>74</v>
      </c>
      <c r="J5" t="s">
        <v>59</v>
      </c>
      <c r="K5" t="s">
        <v>60</v>
      </c>
      <c r="L5" t="s">
        <v>61</v>
      </c>
      <c r="M5" t="s">
        <v>62</v>
      </c>
      <c r="N5" t="s">
        <v>42</v>
      </c>
      <c r="O5" t="s">
        <v>30</v>
      </c>
      <c r="P5" t="s">
        <v>63</v>
      </c>
      <c r="Q5">
        <v>0</v>
      </c>
      <c r="R5">
        <v>5.8</v>
      </c>
      <c r="S5">
        <v>7434</v>
      </c>
      <c r="T5" t="s">
        <v>32</v>
      </c>
    </row>
    <row r="6" spans="1:20" x14ac:dyDescent="0.3">
      <c r="A6" t="s">
        <v>64</v>
      </c>
      <c r="B6" t="s">
        <v>65</v>
      </c>
      <c r="C6" t="s">
        <v>66</v>
      </c>
      <c r="D6" t="s">
        <v>23</v>
      </c>
      <c r="E6" t="s">
        <v>48</v>
      </c>
      <c r="F6">
        <v>2000</v>
      </c>
      <c r="G6" s="1">
        <v>36852</v>
      </c>
      <c r="H6" s="1">
        <v>43781</v>
      </c>
      <c r="I6">
        <v>100</v>
      </c>
      <c r="J6" t="s">
        <v>67</v>
      </c>
      <c r="K6" t="s">
        <v>68</v>
      </c>
      <c r="L6" t="s">
        <v>69</v>
      </c>
      <c r="M6" t="s">
        <v>70</v>
      </c>
      <c r="N6" t="s">
        <v>42</v>
      </c>
      <c r="O6" t="s">
        <v>54</v>
      </c>
      <c r="P6" t="s">
        <v>71</v>
      </c>
      <c r="Q6">
        <v>35</v>
      </c>
      <c r="R6">
        <v>4.9000000000000004</v>
      </c>
      <c r="S6">
        <v>33444</v>
      </c>
      <c r="T6" t="s">
        <v>72</v>
      </c>
    </row>
    <row r="7" spans="1:20" x14ac:dyDescent="0.3">
      <c r="A7" t="s">
        <v>73</v>
      </c>
      <c r="B7" t="s">
        <v>74</v>
      </c>
      <c r="C7" t="s">
        <v>75</v>
      </c>
      <c r="D7" t="s">
        <v>36</v>
      </c>
      <c r="E7" t="s">
        <v>76</v>
      </c>
      <c r="F7">
        <v>2011</v>
      </c>
      <c r="G7" s="1">
        <v>40888</v>
      </c>
      <c r="H7" s="1">
        <v>43781</v>
      </c>
      <c r="I7">
        <v>90</v>
      </c>
      <c r="J7" t="s">
        <v>77</v>
      </c>
      <c r="K7" t="s">
        <v>78</v>
      </c>
      <c r="L7" t="s">
        <v>79</v>
      </c>
      <c r="M7" t="s">
        <v>80</v>
      </c>
      <c r="N7" t="s">
        <v>42</v>
      </c>
      <c r="O7" t="s">
        <v>30</v>
      </c>
      <c r="P7" t="s">
        <v>81</v>
      </c>
      <c r="Q7">
        <v>0</v>
      </c>
      <c r="R7">
        <v>6.3</v>
      </c>
      <c r="S7">
        <v>4933</v>
      </c>
      <c r="T7" t="s">
        <v>32</v>
      </c>
    </row>
    <row r="8" spans="1:20" x14ac:dyDescent="0.3">
      <c r="A8" t="s">
        <v>82</v>
      </c>
      <c r="B8" t="s">
        <v>83</v>
      </c>
      <c r="C8" t="s">
        <v>84</v>
      </c>
      <c r="D8" t="s">
        <v>23</v>
      </c>
      <c r="E8" t="s">
        <v>48</v>
      </c>
      <c r="F8">
        <v>1954</v>
      </c>
      <c r="G8" s="1">
        <v>20290</v>
      </c>
      <c r="H8" s="1">
        <v>43781</v>
      </c>
      <c r="I8">
        <v>127</v>
      </c>
      <c r="J8" t="s">
        <v>85</v>
      </c>
      <c r="K8" t="s">
        <v>86</v>
      </c>
      <c r="L8" t="s">
        <v>87</v>
      </c>
      <c r="M8" t="s">
        <v>88</v>
      </c>
      <c r="N8" t="s">
        <v>42</v>
      </c>
      <c r="O8" t="s">
        <v>30</v>
      </c>
      <c r="P8" t="s">
        <v>89</v>
      </c>
      <c r="Q8">
        <v>83</v>
      </c>
      <c r="R8">
        <v>7.2</v>
      </c>
      <c r="S8">
        <v>27761</v>
      </c>
      <c r="T8" t="s">
        <v>32</v>
      </c>
    </row>
    <row r="9" spans="1:20" x14ac:dyDescent="0.3">
      <c r="A9" t="s">
        <v>90</v>
      </c>
      <c r="B9" t="s">
        <v>91</v>
      </c>
      <c r="C9" t="s">
        <v>92</v>
      </c>
      <c r="D9" t="s">
        <v>23</v>
      </c>
      <c r="E9" t="s">
        <v>48</v>
      </c>
      <c r="F9">
        <v>1998</v>
      </c>
      <c r="G9" s="1">
        <v>36124</v>
      </c>
      <c r="H9" s="1">
        <v>43781</v>
      </c>
      <c r="I9">
        <v>95</v>
      </c>
      <c r="J9" t="s">
        <v>93</v>
      </c>
      <c r="K9" t="s">
        <v>94</v>
      </c>
      <c r="L9" t="s">
        <v>95</v>
      </c>
      <c r="M9" t="s">
        <v>96</v>
      </c>
      <c r="N9" t="s">
        <v>42</v>
      </c>
      <c r="O9" t="s">
        <v>30</v>
      </c>
      <c r="P9" t="s">
        <v>97</v>
      </c>
      <c r="Q9">
        <v>77</v>
      </c>
      <c r="R9">
        <v>7.2</v>
      </c>
      <c r="S9">
        <v>257065</v>
      </c>
      <c r="T9" t="s">
        <v>32</v>
      </c>
    </row>
    <row r="10" spans="1:20" x14ac:dyDescent="0.3">
      <c r="A10" t="s">
        <v>98</v>
      </c>
      <c r="B10" t="s">
        <v>99</v>
      </c>
      <c r="C10" t="s">
        <v>40</v>
      </c>
      <c r="D10" t="s">
        <v>36</v>
      </c>
      <c r="E10" t="s">
        <v>37</v>
      </c>
      <c r="F10">
        <v>2020</v>
      </c>
      <c r="G10" s="1">
        <v>43931</v>
      </c>
      <c r="H10" s="1">
        <v>43931</v>
      </c>
      <c r="I10">
        <v>0</v>
      </c>
      <c r="J10" t="s">
        <v>100</v>
      </c>
      <c r="K10" t="s">
        <v>101</v>
      </c>
      <c r="L10" t="s">
        <v>40</v>
      </c>
      <c r="M10" t="s">
        <v>102</v>
      </c>
      <c r="N10" t="s">
        <v>42</v>
      </c>
      <c r="O10" t="s">
        <v>30</v>
      </c>
      <c r="P10" t="s">
        <v>44</v>
      </c>
      <c r="Q10">
        <v>0</v>
      </c>
      <c r="R10">
        <v>7.6</v>
      </c>
      <c r="S10">
        <v>35</v>
      </c>
      <c r="T10" t="s">
        <v>32</v>
      </c>
    </row>
    <row r="11" spans="1:20" x14ac:dyDescent="0.3">
      <c r="A11" t="s">
        <v>103</v>
      </c>
      <c r="B11" t="s">
        <v>104</v>
      </c>
      <c r="C11" t="s">
        <v>105</v>
      </c>
      <c r="D11" t="s">
        <v>23</v>
      </c>
      <c r="E11" t="s">
        <v>48</v>
      </c>
      <c r="F11">
        <v>1995</v>
      </c>
      <c r="G11" s="1">
        <v>34796</v>
      </c>
      <c r="H11" s="1">
        <v>43781</v>
      </c>
      <c r="I11">
        <v>78</v>
      </c>
      <c r="J11" t="s">
        <v>106</v>
      </c>
      <c r="K11" t="s">
        <v>68</v>
      </c>
      <c r="L11" t="s">
        <v>107</v>
      </c>
      <c r="M11" t="s">
        <v>108</v>
      </c>
      <c r="N11" t="s">
        <v>42</v>
      </c>
      <c r="O11" t="s">
        <v>109</v>
      </c>
      <c r="P11" t="s">
        <v>110</v>
      </c>
      <c r="Q11">
        <v>0</v>
      </c>
      <c r="R11">
        <v>6.8</v>
      </c>
      <c r="S11">
        <v>43655</v>
      </c>
      <c r="T11" t="s">
        <v>32</v>
      </c>
    </row>
    <row r="12" spans="1:20" x14ac:dyDescent="0.3">
      <c r="A12" t="s">
        <v>111</v>
      </c>
      <c r="B12" t="s">
        <v>112</v>
      </c>
      <c r="C12" t="s">
        <v>113</v>
      </c>
      <c r="D12" t="s">
        <v>23</v>
      </c>
      <c r="E12" t="s">
        <v>76</v>
      </c>
      <c r="F12">
        <v>1995</v>
      </c>
      <c r="G12" s="1">
        <v>34922</v>
      </c>
      <c r="H12" s="1">
        <v>43781</v>
      </c>
      <c r="I12">
        <v>89</v>
      </c>
      <c r="J12" t="s">
        <v>114</v>
      </c>
      <c r="K12" t="s">
        <v>115</v>
      </c>
      <c r="L12" t="s">
        <v>116</v>
      </c>
      <c r="M12" t="s">
        <v>117</v>
      </c>
      <c r="N12" t="s">
        <v>42</v>
      </c>
      <c r="O12" t="s">
        <v>118</v>
      </c>
      <c r="P12" t="s">
        <v>81</v>
      </c>
      <c r="Q12">
        <v>34</v>
      </c>
      <c r="R12">
        <v>4.7</v>
      </c>
      <c r="S12">
        <v>5479</v>
      </c>
      <c r="T12" t="s">
        <v>72</v>
      </c>
    </row>
    <row r="13" spans="1:20" x14ac:dyDescent="0.3">
      <c r="A13" t="s">
        <v>119</v>
      </c>
      <c r="B13" t="s">
        <v>120</v>
      </c>
      <c r="C13" t="s">
        <v>121</v>
      </c>
      <c r="D13" t="s">
        <v>36</v>
      </c>
      <c r="E13" t="s">
        <v>122</v>
      </c>
      <c r="F13">
        <v>1946</v>
      </c>
      <c r="G13" s="1">
        <v>53394</v>
      </c>
      <c r="H13" s="1">
        <v>43781</v>
      </c>
      <c r="I13">
        <v>7</v>
      </c>
      <c r="J13" t="s">
        <v>123</v>
      </c>
      <c r="K13" t="s">
        <v>124</v>
      </c>
      <c r="L13" t="s">
        <v>125</v>
      </c>
      <c r="M13" t="s">
        <v>126</v>
      </c>
      <c r="N13" t="s">
        <v>42</v>
      </c>
      <c r="O13" t="s">
        <v>30</v>
      </c>
      <c r="P13" t="s">
        <v>44</v>
      </c>
      <c r="Q13">
        <v>0</v>
      </c>
      <c r="R13">
        <v>7</v>
      </c>
      <c r="S13">
        <v>488</v>
      </c>
      <c r="T13" t="s">
        <v>32</v>
      </c>
    </row>
    <row r="14" spans="1:20" x14ac:dyDescent="0.3">
      <c r="A14" t="s">
        <v>127</v>
      </c>
      <c r="B14" t="s">
        <v>128</v>
      </c>
      <c r="C14" t="s">
        <v>129</v>
      </c>
      <c r="D14" t="s">
        <v>23</v>
      </c>
      <c r="E14" t="s">
        <v>130</v>
      </c>
      <c r="F14">
        <v>2002</v>
      </c>
      <c r="G14" s="1">
        <v>37491</v>
      </c>
      <c r="H14" s="1">
        <v>43781</v>
      </c>
      <c r="I14">
        <v>88</v>
      </c>
      <c r="J14" t="s">
        <v>131</v>
      </c>
      <c r="K14" t="s">
        <v>132</v>
      </c>
      <c r="L14" t="s">
        <v>133</v>
      </c>
      <c r="M14" t="s">
        <v>134</v>
      </c>
      <c r="N14" t="s">
        <v>42</v>
      </c>
      <c r="O14" t="s">
        <v>30</v>
      </c>
      <c r="P14" t="s">
        <v>135</v>
      </c>
      <c r="Q14">
        <v>0</v>
      </c>
      <c r="R14">
        <v>6.1</v>
      </c>
      <c r="S14">
        <v>1042</v>
      </c>
      <c r="T14" t="s">
        <v>32</v>
      </c>
    </row>
    <row r="15" spans="1:20" x14ac:dyDescent="0.3">
      <c r="A15" t="s">
        <v>136</v>
      </c>
      <c r="B15" t="s">
        <v>137</v>
      </c>
      <c r="C15" t="s">
        <v>138</v>
      </c>
      <c r="D15" t="s">
        <v>23</v>
      </c>
      <c r="E15" t="s">
        <v>48</v>
      </c>
      <c r="F15">
        <v>1977</v>
      </c>
      <c r="G15" s="1">
        <v>28298</v>
      </c>
      <c r="H15" s="1">
        <v>43924</v>
      </c>
      <c r="I15">
        <v>48</v>
      </c>
      <c r="J15" t="s">
        <v>139</v>
      </c>
      <c r="K15" t="s">
        <v>140</v>
      </c>
      <c r="L15" t="s">
        <v>140</v>
      </c>
      <c r="M15" t="s">
        <v>141</v>
      </c>
      <c r="N15" t="s">
        <v>42</v>
      </c>
      <c r="O15" t="s">
        <v>30</v>
      </c>
      <c r="P15" t="s">
        <v>44</v>
      </c>
      <c r="Q15">
        <v>0</v>
      </c>
      <c r="R15">
        <v>7.1</v>
      </c>
      <c r="S15">
        <v>59</v>
      </c>
      <c r="T15" t="s">
        <v>32</v>
      </c>
    </row>
    <row r="16" spans="1:20" x14ac:dyDescent="0.3">
      <c r="A16" t="s">
        <v>142</v>
      </c>
      <c r="B16" t="s">
        <v>143</v>
      </c>
      <c r="C16" t="s">
        <v>144</v>
      </c>
      <c r="D16" t="s">
        <v>36</v>
      </c>
      <c r="E16" t="s">
        <v>76</v>
      </c>
      <c r="F16">
        <v>2018</v>
      </c>
      <c r="G16" s="1">
        <v>43168</v>
      </c>
      <c r="H16" s="1">
        <v>43915</v>
      </c>
      <c r="I16">
        <v>109</v>
      </c>
      <c r="J16" t="s">
        <v>145</v>
      </c>
      <c r="K16" t="s">
        <v>146</v>
      </c>
      <c r="L16" t="s">
        <v>147</v>
      </c>
      <c r="M16" t="s">
        <v>148</v>
      </c>
      <c r="N16" t="s">
        <v>42</v>
      </c>
      <c r="O16" t="s">
        <v>30</v>
      </c>
      <c r="P16" t="s">
        <v>149</v>
      </c>
      <c r="Q16">
        <v>53</v>
      </c>
      <c r="R16">
        <v>4.2</v>
      </c>
      <c r="S16">
        <v>38659</v>
      </c>
      <c r="T16" t="s">
        <v>72</v>
      </c>
    </row>
    <row r="17" spans="1:20" x14ac:dyDescent="0.3">
      <c r="A17" t="s">
        <v>150</v>
      </c>
      <c r="B17" t="s">
        <v>151</v>
      </c>
      <c r="C17" t="s">
        <v>152</v>
      </c>
      <c r="D17" t="s">
        <v>23</v>
      </c>
      <c r="E17" t="s">
        <v>76</v>
      </c>
      <c r="F17">
        <v>2019</v>
      </c>
      <c r="G17" s="1">
        <v>43609</v>
      </c>
      <c r="H17" s="1">
        <v>43838</v>
      </c>
      <c r="I17">
        <v>128</v>
      </c>
      <c r="J17" t="s">
        <v>153</v>
      </c>
      <c r="K17" t="s">
        <v>154</v>
      </c>
      <c r="L17" t="s">
        <v>155</v>
      </c>
      <c r="M17" t="s">
        <v>156</v>
      </c>
      <c r="N17" t="s">
        <v>157</v>
      </c>
      <c r="O17" t="s">
        <v>30</v>
      </c>
      <c r="P17" t="s">
        <v>158</v>
      </c>
      <c r="Q17">
        <v>53</v>
      </c>
      <c r="R17">
        <v>7</v>
      </c>
      <c r="S17">
        <v>204537</v>
      </c>
      <c r="T17" t="s">
        <v>32</v>
      </c>
    </row>
    <row r="18" spans="1:20" x14ac:dyDescent="0.3">
      <c r="A18" t="s">
        <v>159</v>
      </c>
      <c r="B18" t="s">
        <v>151</v>
      </c>
      <c r="C18" t="s">
        <v>160</v>
      </c>
      <c r="D18" t="s">
        <v>23</v>
      </c>
      <c r="E18" t="s">
        <v>48</v>
      </c>
      <c r="F18">
        <v>1992</v>
      </c>
      <c r="G18" s="1">
        <v>33933</v>
      </c>
      <c r="H18" s="1">
        <v>43781</v>
      </c>
      <c r="I18">
        <v>90</v>
      </c>
      <c r="J18" t="s">
        <v>161</v>
      </c>
      <c r="K18" t="s">
        <v>162</v>
      </c>
      <c r="L18" t="s">
        <v>163</v>
      </c>
      <c r="M18" t="s">
        <v>164</v>
      </c>
      <c r="N18" t="s">
        <v>42</v>
      </c>
      <c r="O18" t="s">
        <v>30</v>
      </c>
      <c r="P18" t="s">
        <v>165</v>
      </c>
      <c r="Q18">
        <v>86</v>
      </c>
      <c r="R18">
        <v>8</v>
      </c>
      <c r="S18">
        <v>356283</v>
      </c>
      <c r="T18" t="s">
        <v>166</v>
      </c>
    </row>
    <row r="19" spans="1:20" x14ac:dyDescent="0.3">
      <c r="A19" t="s">
        <v>167</v>
      </c>
      <c r="B19" t="s">
        <v>168</v>
      </c>
      <c r="C19" t="s">
        <v>169</v>
      </c>
      <c r="D19" t="s">
        <v>36</v>
      </c>
      <c r="E19" t="s">
        <v>37</v>
      </c>
      <c r="F19">
        <v>1996</v>
      </c>
      <c r="G19" s="1">
        <v>35290</v>
      </c>
      <c r="H19" s="1">
        <v>43781</v>
      </c>
      <c r="I19">
        <v>81</v>
      </c>
      <c r="J19" t="s">
        <v>161</v>
      </c>
      <c r="K19" t="s">
        <v>170</v>
      </c>
      <c r="L19" t="s">
        <v>171</v>
      </c>
      <c r="M19" t="s">
        <v>172</v>
      </c>
      <c r="N19" t="s">
        <v>42</v>
      </c>
      <c r="O19" t="s">
        <v>30</v>
      </c>
      <c r="P19" t="s">
        <v>135</v>
      </c>
      <c r="Q19">
        <v>0</v>
      </c>
      <c r="R19">
        <v>6.4</v>
      </c>
      <c r="S19">
        <v>31603</v>
      </c>
      <c r="T19" t="s">
        <v>32</v>
      </c>
    </row>
    <row r="20" spans="1:20" x14ac:dyDescent="0.3">
      <c r="A20" t="s">
        <v>173</v>
      </c>
      <c r="B20" t="s">
        <v>174</v>
      </c>
      <c r="C20" t="s">
        <v>175</v>
      </c>
      <c r="D20" t="s">
        <v>23</v>
      </c>
      <c r="E20" t="s">
        <v>48</v>
      </c>
      <c r="F20">
        <v>1994</v>
      </c>
      <c r="G20" s="1">
        <v>34474</v>
      </c>
      <c r="H20" s="1">
        <v>43781</v>
      </c>
      <c r="I20">
        <v>69</v>
      </c>
      <c r="J20" t="s">
        <v>161</v>
      </c>
      <c r="K20" t="s">
        <v>176</v>
      </c>
      <c r="L20" t="s">
        <v>177</v>
      </c>
      <c r="M20" t="s">
        <v>178</v>
      </c>
      <c r="N20" t="s">
        <v>42</v>
      </c>
      <c r="O20" t="s">
        <v>30</v>
      </c>
      <c r="P20" t="s">
        <v>81</v>
      </c>
      <c r="Q20">
        <v>0</v>
      </c>
      <c r="R20">
        <v>5.9</v>
      </c>
      <c r="S20">
        <v>25623</v>
      </c>
      <c r="T20" t="s">
        <v>32</v>
      </c>
    </row>
    <row r="21" spans="1:20" x14ac:dyDescent="0.3">
      <c r="A21" t="s">
        <v>179</v>
      </c>
      <c r="B21" t="s">
        <v>180</v>
      </c>
      <c r="C21" t="s">
        <v>181</v>
      </c>
      <c r="D21" t="s">
        <v>36</v>
      </c>
      <c r="E21" t="s">
        <v>48</v>
      </c>
      <c r="F21">
        <v>1951</v>
      </c>
      <c r="G21" s="1">
        <v>18885</v>
      </c>
      <c r="H21" s="1">
        <v>43781</v>
      </c>
      <c r="I21">
        <v>75</v>
      </c>
      <c r="J21" t="s">
        <v>182</v>
      </c>
      <c r="K21" t="s">
        <v>183</v>
      </c>
      <c r="L21" t="s">
        <v>184</v>
      </c>
      <c r="M21" t="s">
        <v>185</v>
      </c>
      <c r="N21" t="s">
        <v>42</v>
      </c>
      <c r="O21" t="s">
        <v>30</v>
      </c>
      <c r="P21" t="s">
        <v>186</v>
      </c>
      <c r="Q21">
        <v>68</v>
      </c>
      <c r="R21">
        <v>7.4</v>
      </c>
      <c r="S21">
        <v>123377</v>
      </c>
      <c r="T21" t="s">
        <v>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BFF3F-1EC1-4EAA-9E32-9520ED4308A3}">
  <dimension ref="B1:D16"/>
  <sheetViews>
    <sheetView workbookViewId="0">
      <selection activeCell="C15" sqref="C15"/>
    </sheetView>
  </sheetViews>
  <sheetFormatPr defaultRowHeight="14.4" x14ac:dyDescent="0.3"/>
  <cols>
    <col min="2" max="2" width="55.6640625" bestFit="1" customWidth="1"/>
    <col min="3" max="3" width="13.21875" bestFit="1" customWidth="1"/>
    <col min="4" max="4" width="20" bestFit="1" customWidth="1"/>
    <col min="5" max="5" width="20" customWidth="1"/>
    <col min="6" max="6" width="17.21875" bestFit="1" customWidth="1"/>
  </cols>
  <sheetData>
    <row r="1" spans="2:4" ht="18" x14ac:dyDescent="0.35">
      <c r="B1" s="4" t="s">
        <v>191</v>
      </c>
    </row>
    <row r="2" spans="2:4" x14ac:dyDescent="0.3">
      <c r="B2" s="8" t="s">
        <v>187</v>
      </c>
      <c r="C2" s="8" t="s">
        <v>189</v>
      </c>
      <c r="D2" s="8" t="s">
        <v>190</v>
      </c>
    </row>
    <row r="3" spans="2:4" x14ac:dyDescent="0.3">
      <c r="B3" s="9" t="s">
        <v>49</v>
      </c>
      <c r="C3" s="8">
        <v>1</v>
      </c>
      <c r="D3" s="8">
        <v>5.7</v>
      </c>
    </row>
    <row r="4" spans="2:4" x14ac:dyDescent="0.3">
      <c r="B4" s="9" t="s">
        <v>153</v>
      </c>
      <c r="C4" s="8">
        <v>1</v>
      </c>
      <c r="D4" s="8">
        <v>7</v>
      </c>
    </row>
    <row r="5" spans="2:4" x14ac:dyDescent="0.3">
      <c r="B5" s="9" t="s">
        <v>93</v>
      </c>
      <c r="C5" s="8">
        <v>1</v>
      </c>
      <c r="D5" s="8">
        <v>7.2</v>
      </c>
    </row>
    <row r="6" spans="2:4" x14ac:dyDescent="0.3">
      <c r="B6" s="9" t="s">
        <v>161</v>
      </c>
      <c r="C6" s="8">
        <v>3</v>
      </c>
      <c r="D6" s="8">
        <v>6.7666666666666666</v>
      </c>
    </row>
    <row r="7" spans="2:4" x14ac:dyDescent="0.3">
      <c r="B7" s="9" t="s">
        <v>59</v>
      </c>
      <c r="C7" s="8">
        <v>1</v>
      </c>
      <c r="D7" s="8">
        <v>5.8</v>
      </c>
    </row>
    <row r="8" spans="2:4" x14ac:dyDescent="0.3">
      <c r="B8" s="9" t="s">
        <v>106</v>
      </c>
      <c r="C8" s="8">
        <v>1</v>
      </c>
      <c r="D8" s="8">
        <v>6.8</v>
      </c>
    </row>
    <row r="9" spans="2:4" x14ac:dyDescent="0.3">
      <c r="B9" s="9" t="s">
        <v>182</v>
      </c>
      <c r="C9" s="8">
        <v>1</v>
      </c>
      <c r="D9" s="8">
        <v>7.4</v>
      </c>
    </row>
    <row r="10" spans="2:4" x14ac:dyDescent="0.3">
      <c r="B10" s="9" t="s">
        <v>38</v>
      </c>
      <c r="C10" s="8">
        <v>1</v>
      </c>
      <c r="D10" s="8">
        <v>6.2</v>
      </c>
    </row>
    <row r="11" spans="2:4" x14ac:dyDescent="0.3">
      <c r="B11" s="9" t="s">
        <v>123</v>
      </c>
      <c r="C11" s="8">
        <v>1</v>
      </c>
      <c r="D11" s="8">
        <v>7</v>
      </c>
    </row>
    <row r="12" spans="2:4" x14ac:dyDescent="0.3">
      <c r="B12" s="9" t="s">
        <v>25</v>
      </c>
      <c r="C12" s="8">
        <v>1</v>
      </c>
      <c r="D12" s="8">
        <v>7.3</v>
      </c>
    </row>
    <row r="13" spans="2:4" x14ac:dyDescent="0.3">
      <c r="B13" s="9" t="s">
        <v>77</v>
      </c>
      <c r="C13" s="8">
        <v>1</v>
      </c>
      <c r="D13" s="8">
        <v>6.3</v>
      </c>
    </row>
    <row r="14" spans="2:4" x14ac:dyDescent="0.3">
      <c r="B14" s="9" t="s">
        <v>131</v>
      </c>
      <c r="C14" s="8">
        <v>1</v>
      </c>
      <c r="D14" s="8">
        <v>6.1</v>
      </c>
    </row>
    <row r="15" spans="2:4" x14ac:dyDescent="0.3">
      <c r="B15" s="9" t="s">
        <v>100</v>
      </c>
      <c r="C15" s="8">
        <v>1</v>
      </c>
      <c r="D15" s="8">
        <v>7.6</v>
      </c>
    </row>
    <row r="16" spans="2:4" x14ac:dyDescent="0.3">
      <c r="B16" s="9" t="s">
        <v>188</v>
      </c>
      <c r="C16" s="8">
        <v>15</v>
      </c>
      <c r="D16" s="8">
        <v>6.713333333333332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9EAABB-93FA-44C8-B4C2-119BDCA610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Sheet6</vt:lpstr>
      <vt:lpstr>Dashboard</vt:lpstr>
      <vt:lpstr>disney_plus_shows11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Sishina P</dc:creator>
  <cp:lastModifiedBy>Sishina P</cp:lastModifiedBy>
  <dcterms:created xsi:type="dcterms:W3CDTF">2026-03-24T17:55:18Z</dcterms:created>
  <dcterms:modified xsi:type="dcterms:W3CDTF">2026-03-28T15:55:05Z</dcterms:modified>
</cp:coreProperties>
</file>